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5da180e65646c4b/Agentic AI June 2026/Week 3 - Agentic/Week 3 Project - Agentic/"/>
    </mc:Choice>
  </mc:AlternateContent>
  <xr:revisionPtr revIDLastSave="14" documentId="11_FE208F7D41828A7B245E62E2971D113353839A2E" xr6:coauthVersionLast="47" xr6:coauthVersionMax="47" xr10:uidLastSave="{4CCD5FF1-245C-44E1-919C-94532BB54D6E}"/>
  <bookViews>
    <workbookView xWindow="-108" yWindow="-108" windowWidth="23256" windowHeight="12456" firstSheet="1" activeTab="3" xr2:uid="{00000000-000D-0000-FFFF-FFFF00000000}"/>
  </bookViews>
  <sheets>
    <sheet name="Dashboard" sheetId="1" r:id="rId1"/>
    <sheet name="Child_Profile" sheetId="2" r:id="rId2"/>
    <sheet name="Therapist_Materials" sheetId="3" r:id="rId3"/>
    <sheet name="Practice_Log" sheetId="4" r:id="rId4"/>
    <sheet name="Agent_Decisions" sheetId="5" r:id="rId5"/>
    <sheet name="Weekly_Summaries" sheetId="6" r:id="rId6"/>
    <sheet name="Practice_Plan_Examples" sheetId="7" r:id="rId7"/>
    <sheet name="Decision_Rules" sheetId="8" r:id="rId8"/>
    <sheet name="Score_Timeline" sheetId="9" r:id="rId9"/>
    <sheet name="Lookup_Lists" sheetId="10" r:id="rId10"/>
    <sheet name="Sources_ReadM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4" i="4" l="1"/>
  <c r="F34" i="4"/>
  <c r="N33" i="4"/>
  <c r="F33" i="4"/>
  <c r="N32" i="4"/>
  <c r="F32" i="4"/>
  <c r="N31" i="4"/>
  <c r="F31" i="4"/>
  <c r="N30" i="4"/>
  <c r="F30" i="4"/>
  <c r="N29" i="4"/>
  <c r="F29" i="4"/>
  <c r="N28" i="4"/>
  <c r="F28" i="4"/>
  <c r="N27" i="4"/>
  <c r="F27" i="4"/>
  <c r="N26" i="4"/>
  <c r="F26" i="4"/>
  <c r="N25" i="4"/>
  <c r="F15" i="1" s="1"/>
  <c r="F25" i="4"/>
  <c r="G10" i="6" s="1"/>
  <c r="N24" i="4"/>
  <c r="F24" i="4"/>
  <c r="N23" i="4"/>
  <c r="F23" i="4"/>
  <c r="N22" i="4"/>
  <c r="F22" i="4"/>
  <c r="N21" i="4"/>
  <c r="F21" i="4"/>
  <c r="N20" i="4"/>
  <c r="F20" i="4"/>
  <c r="N19" i="4"/>
  <c r="F14" i="1" s="1"/>
  <c r="F19" i="4"/>
  <c r="N18" i="4"/>
  <c r="F18" i="4"/>
  <c r="N17" i="4"/>
  <c r="F17" i="4"/>
  <c r="G8" i="6" s="1"/>
  <c r="N16" i="4"/>
  <c r="F16" i="4"/>
  <c r="N15" i="4"/>
  <c r="G7" i="6" s="1"/>
  <c r="F15" i="4"/>
  <c r="N14" i="4"/>
  <c r="F14" i="4"/>
  <c r="N13" i="4"/>
  <c r="F13" i="4"/>
  <c r="N12" i="4"/>
  <c r="F12" i="4"/>
  <c r="N11" i="4"/>
  <c r="F11" i="4"/>
  <c r="N10" i="4"/>
  <c r="F10" i="4"/>
  <c r="N9" i="4"/>
  <c r="F9" i="4"/>
  <c r="N8" i="4"/>
  <c r="F8" i="4"/>
  <c r="N7" i="4"/>
  <c r="F7" i="4"/>
  <c r="N6" i="4"/>
  <c r="F6" i="4"/>
  <c r="N5" i="4"/>
  <c r="F5" i="4"/>
  <c r="G6" i="6" s="1"/>
  <c r="E15" i="1"/>
  <c r="E14" i="1"/>
  <c r="F13" i="1"/>
  <c r="E13" i="1"/>
  <c r="B9" i="1"/>
  <c r="B8" i="1"/>
  <c r="B7" i="1"/>
  <c r="B6" i="1"/>
  <c r="G5" i="6" l="1"/>
  <c r="G9" i="6"/>
</calcChain>
</file>

<file path=xl/sharedStrings.xml><?xml version="1.0" encoding="utf-8"?>
<sst xmlns="http://schemas.openxmlformats.org/spreadsheetml/2006/main" count="1147" uniqueCount="582">
  <si>
    <t>Fake/demo workbook for Google Sheets memory, Streamlit dashboard, n8n orchestration, Nebius agent calls, and parent-approved SLP feedback.</t>
  </si>
  <si>
    <t>Prototype KPIs</t>
  </si>
  <si>
    <t>Metric</t>
  </si>
  <si>
    <t>Value</t>
  </si>
  <si>
    <t>Why it matters</t>
  </si>
  <si>
    <t>Children in demo</t>
  </si>
  <si>
    <t>Shows multiple cases</t>
  </si>
  <si>
    <t>Completed sessions</t>
  </si>
  <si>
    <t>Memory available for agent</t>
  </si>
  <si>
    <t>Escalation flags</t>
  </si>
  <si>
    <t>HITL trigger</t>
  </si>
  <si>
    <t>Pending approvals</t>
  </si>
  <si>
    <t>Human review queue</t>
  </si>
  <si>
    <t>Child Snapshot / Agent Outcomes</t>
  </si>
  <si>
    <t>Child_ID</t>
  </si>
  <si>
    <t>Child</t>
  </si>
  <si>
    <t>Age</t>
  </si>
  <si>
    <t>Target</t>
  </si>
  <si>
    <t>Sessions</t>
  </si>
  <si>
    <t>Latest Outcome</t>
  </si>
  <si>
    <t>C001</t>
  </si>
  <si>
    <t>Ava</t>
  </si>
  <si>
    <t>/K/</t>
  </si>
  <si>
    <t>Consider phrase trial</t>
  </si>
  <si>
    <t>C002</t>
  </si>
  <si>
    <t>Emma</t>
  </si>
  <si>
    <t>/R/</t>
  </si>
  <si>
    <t>Increase/continue sentence level</t>
  </si>
  <si>
    <t>C003</t>
  </si>
  <si>
    <t>Noah</t>
  </si>
  <si>
    <t>/S/</t>
  </si>
  <si>
    <t>Recommend therapist review</t>
  </si>
  <si>
    <t>Build Checklist / Next Steps</t>
  </si>
  <si>
    <t>Step</t>
  </si>
  <si>
    <t>Action</t>
  </si>
  <si>
    <t>Purpose</t>
  </si>
  <si>
    <t>1</t>
  </si>
  <si>
    <t>Upload workbook to Google Sheets</t>
  </si>
  <si>
    <t>Use as memory tables for Streamlit/n8n</t>
  </si>
  <si>
    <t>2</t>
  </si>
  <si>
    <t>Build Streamlit skeleton</t>
  </si>
  <si>
    <t>Read and display Child_Profile, Practice_Log, Weekly_Summaries</t>
  </si>
  <si>
    <t>3</t>
  </si>
  <si>
    <t>Connect n8n webhook</t>
  </si>
  <si>
    <t>Generate plan/analyze progress using Google Sheet rows</t>
  </si>
  <si>
    <t>4</t>
  </si>
  <si>
    <t>Call Nebius</t>
  </si>
  <si>
    <t>Use one prompt per agent role</t>
  </si>
  <si>
    <t>5</t>
  </si>
  <si>
    <t>Add HITL buttons</t>
  </si>
  <si>
    <t>Approve difficulty changes and therapist drafts</t>
  </si>
  <si>
    <t>Child Profile</t>
  </si>
  <si>
    <t>Three fake/de-identified child personas selected to show different age groups, target sounds, and agent decisions.</t>
  </si>
  <si>
    <t>Child_Name</t>
  </si>
  <si>
    <t>Age_Group</t>
  </si>
  <si>
    <t>Target_Sound</t>
  </si>
  <si>
    <t>Primary_Error_Pattern</t>
  </si>
  <si>
    <t>Current_Level</t>
  </si>
  <si>
    <t>SLP_Goal_Summary</t>
  </si>
  <si>
    <t>Home_Practice_Focus</t>
  </si>
  <si>
    <t>Demo_Case_Type</t>
  </si>
  <si>
    <t>Privacy_Note</t>
  </si>
  <si>
    <t>Preschool</t>
  </si>
  <si>
    <t>Fronting: says /t/ for /k/ (e.g., 'tat' for 'cat')</t>
  </si>
  <si>
    <t>Word</t>
  </si>
  <si>
    <t>Practice /k/ in simple words with visual/game support.</t>
  </si>
  <si>
    <t>Short playful word practice; avoid long reading tasks.</t>
  </si>
  <si>
    <t>Younger child: maintain simple level</t>
  </si>
  <si>
    <t>Fake data only; no real child identifiers.</t>
  </si>
  <si>
    <t>Early elementary</t>
  </si>
  <si>
    <t>Gliding/weak rhoticity: says 'wabbit' for 'rabbit'; vocalic /r/ is hard</t>
  </si>
  <si>
    <t>Improve /r/ clarity from words into short sentences.</t>
  </si>
  <si>
    <t>R words, then short functional sentences.</t>
  </si>
  <si>
    <t>Improving child: increase difficulty</t>
  </si>
  <si>
    <t>School age</t>
  </si>
  <si>
    <t>Lateral/dentalized /s/ and difficulty with /s/ blends</t>
  </si>
  <si>
    <t>Sentence</t>
  </si>
  <si>
    <t>Improve /s/ clarity in sentences and classroom-like phrases.</t>
  </si>
  <si>
    <t>Sentence practice with careful pacing; monitor frustration.</t>
  </si>
  <si>
    <t>Regression/escalation path</t>
  </si>
  <si>
    <t>Therapist Materials</t>
  </si>
  <si>
    <t>Practice materials a therapist might send home; parents log practice against these materials.</t>
  </si>
  <si>
    <t>Material_ID</t>
  </si>
  <si>
    <t>Date_Assigned</t>
  </si>
  <si>
    <t>Assigned_By</t>
  </si>
  <si>
    <t>Material_Type</t>
  </si>
  <si>
    <t>Practice_Level</t>
  </si>
  <si>
    <t>Material_Title</t>
  </si>
  <si>
    <t>Practice_Instructions</t>
  </si>
  <si>
    <t>Example_Items</t>
  </si>
  <si>
    <t>Parent_Feedback_Prompt</t>
  </si>
  <si>
    <t>M001</t>
  </si>
  <si>
    <t>SLP</t>
  </si>
  <si>
    <t>Word list + picture cards</t>
  </si>
  <si>
    <t>Back /k/ picture cards</t>
  </si>
  <si>
    <t>Practice 5 minutes; use mirror and exaggerated back-tongue cue.</t>
  </si>
  <si>
    <t>cat, cow, key, car, cookie</t>
  </si>
  <si>
    <t>Which /k/ words were easiest/hardest? Did the child stay engaged?</t>
  </si>
  <si>
    <t>M002</t>
  </si>
  <si>
    <t>Word list</t>
  </si>
  <si>
    <t>Initial and vocalic /r/ words</t>
  </si>
  <si>
    <t>Practice 8–10 minutes; slow rate; praise close attempts.</t>
  </si>
  <si>
    <t>red, rabbit, rainbow, robot, car, star</t>
  </si>
  <si>
    <t>Which /r/ words sounded clearer? Did sentence attempts feel ready?</t>
  </si>
  <si>
    <t>M003</t>
  </si>
  <si>
    <t>Sentence list</t>
  </si>
  <si>
    <t>/s/ sentences and blends</t>
  </si>
  <si>
    <t>Practice 10 minutes; focus on airflow and avoid pushing too hard.</t>
  </si>
  <si>
    <t>sun, soup, seven, snake, school, smile</t>
  </si>
  <si>
    <t>Any signs of frustration? Are /s/ blends harder than single /s/ words?</t>
  </si>
  <si>
    <t>M004</t>
  </si>
  <si>
    <t>Home note</t>
  </si>
  <si>
    <t>Reset plan after frustration</t>
  </si>
  <si>
    <t>If frustration continues, reduce to word/phrase level and send SLP a short update.</t>
  </si>
  <si>
    <t>sun, seal, sip, see</t>
  </si>
  <si>
    <t>Should we reduce difficulty for a week?</t>
  </si>
  <si>
    <t>Practice Log</t>
  </si>
  <si>
    <t>Session-level memory. This is the key data table that Streamlit, n8n, and the agents will read/write.</t>
  </si>
  <si>
    <t>Session_ID</t>
  </si>
  <si>
    <t>Date</t>
  </si>
  <si>
    <t>Week_Ending</t>
  </si>
  <si>
    <t>Therapist_Material_ID</t>
  </si>
  <si>
    <t>Exercise_Type</t>
  </si>
  <si>
    <t>Practice_Completed</t>
  </si>
  <si>
    <t>Parent_Rating</t>
  </si>
  <si>
    <t>Rating_Score</t>
  </si>
  <si>
    <t>Words_Practiced</t>
  </si>
  <si>
    <t>Raw_Parent_Note</t>
  </si>
  <si>
    <t>Voice_Note_Used</t>
  </si>
  <si>
    <t>Parent_Reviewed_Note</t>
  </si>
  <si>
    <t>Structured_Observation</t>
  </si>
  <si>
    <t>What_Went_Well</t>
  </si>
  <si>
    <t>What_Was_Hard</t>
  </si>
  <si>
    <t>Child_Response</t>
  </si>
  <si>
    <t>Question_For_SLP</t>
  </si>
  <si>
    <t>Duration_Minutes</t>
  </si>
  <si>
    <t>Agent_Decision</t>
  </si>
  <si>
    <t>Escalation_Flag</t>
  </si>
  <si>
    <t>HITL_Status</t>
  </si>
  <si>
    <t>S001</t>
  </si>
  <si>
    <t>Fronting /k/→/t/</t>
  </si>
  <si>
    <t>Picture-card word practice</t>
  </si>
  <si>
    <t>Yes</t>
  </si>
  <si>
    <t>Needs Practice</t>
  </si>
  <si>
    <t>cat, cow, key</t>
  </si>
  <si>
    <t>Ava said tat for cat and tow for cow. Stayed engaged with picture cards.</t>
  </si>
  <si>
    <t>No</t>
  </si>
  <si>
    <t>Used picture cards and repeated with parent cue.</t>
  </si>
  <si>
    <t>key attempt was close</t>
  </si>
  <si>
    <t>cat/cow became t-sound</t>
  </si>
  <si>
    <t>Engaged for short game</t>
  </si>
  <si>
    <t>Should we keep /k/ with pictures?</t>
  </si>
  <si>
    <t>Maintain word-level; use short playful practice</t>
  </si>
  <si>
    <t>Not Required</t>
  </si>
  <si>
    <t>S002</t>
  </si>
  <si>
    <t>cat, car, cookie</t>
  </si>
  <si>
    <t>She liked cookie but still used tookie. Needed many reminders.</t>
  </si>
  <si>
    <t>Fronting continues; benefits from visual cue.</t>
  </si>
  <si>
    <t>cookie interest kept practice going</t>
  </si>
  <si>
    <t>cat/car inconsistent</t>
  </si>
  <si>
    <t>Cooperative but short attention span</t>
  </si>
  <si>
    <t>Any cue for back tongue sound?</t>
  </si>
  <si>
    <t>S003</t>
  </si>
  <si>
    <t>Close</t>
  </si>
  <si>
    <t>key, cow, cup</t>
  </si>
  <si>
    <t>Key was closer today. Cow still sounded like tow.</t>
  </si>
  <si>
    <t>Improvement in one short /k/ word; longer words mixed.</t>
  </si>
  <si>
    <t>key</t>
  </si>
  <si>
    <t>cow</t>
  </si>
  <si>
    <t>Smiled when using mirror</t>
  </si>
  <si>
    <t>Should we focus on short words first?</t>
  </si>
  <si>
    <t>S004</t>
  </si>
  <si>
    <t>cat, cup, car</t>
  </si>
  <si>
    <t>Practice was short. She was tired and guessed quickly.</t>
  </si>
  <si>
    <t>Lower engagement; performance not enough to increase difficulty.</t>
  </si>
  <si>
    <t>completed a few tries</t>
  </si>
  <si>
    <t>rushed productions</t>
  </si>
  <si>
    <t>Tired after school</t>
  </si>
  <si>
    <t>Should we practice earlier in day?</t>
  </si>
  <si>
    <t>S005</t>
  </si>
  <si>
    <t>key, cup, cookie</t>
  </si>
  <si>
    <t>Cup sounded closer. Cookie still hard.</t>
  </si>
  <si>
    <t>Short /k/ words improving; longer multisyllabic word remains hard.</t>
  </si>
  <si>
    <t>cup/key</t>
  </si>
  <si>
    <t>cookie</t>
  </si>
  <si>
    <t>Good with 5-minute game</t>
  </si>
  <si>
    <t>When do we add phrases?</t>
  </si>
  <si>
    <t>S006</t>
  </si>
  <si>
    <t>cat, key, cow</t>
  </si>
  <si>
    <t>She corrected cat after seeing my mouth cue.</t>
  </si>
  <si>
    <t>Benefits from direct model and visual cue.</t>
  </si>
  <si>
    <t>self-correction on cat</t>
  </si>
  <si>
    <t>cow still inconsistent</t>
  </si>
  <si>
    <t>Proud after corrected attempt</t>
  </si>
  <si>
    <t>Is mirror cue okay?</t>
  </si>
  <si>
    <t>S007</t>
  </si>
  <si>
    <t>cat, car, key</t>
  </si>
  <si>
    <t>More consistent with key and car. Cat still starts as tat sometimes.</t>
  </si>
  <si>
    <t>Emerging consistency; maintain word level for now.</t>
  </si>
  <si>
    <t>key/car</t>
  </si>
  <si>
    <t>cat initial sound</t>
  </si>
  <si>
    <t>Stayed engaged</t>
  </si>
  <si>
    <t>Continue same list?</t>
  </si>
  <si>
    <t>S008</t>
  </si>
  <si>
    <t>Clear</t>
  </si>
  <si>
    <t>key, car, cup</t>
  </si>
  <si>
    <t>Most were clear with slow practice.</t>
  </si>
  <si>
    <t>Strong session at word level with short words.</t>
  </si>
  <si>
    <t>none noted</t>
  </si>
  <si>
    <t>Happy and playful</t>
  </si>
  <si>
    <t>Can we add tiny phrases next week?</t>
  </si>
  <si>
    <t>Consider parent-approved phrase trial</t>
  </si>
  <si>
    <t>Pending Parent Review</t>
  </si>
  <si>
    <t>S009</t>
  </si>
  <si>
    <t>cat, cookie, cow</t>
  </si>
  <si>
    <t>Mixed day; cookie and cow still need support.</t>
  </si>
  <si>
    <t>Longer /k/ words and rounded vowels remain harder.</t>
  </si>
  <si>
    <t>cat improved</t>
  </si>
  <si>
    <t>cookie/cow</t>
  </si>
  <si>
    <t>Okay but got silly</t>
  </si>
  <si>
    <t>Should we avoid cookie for now?</t>
  </si>
  <si>
    <t>S010</t>
  </si>
  <si>
    <t>Clear on short words again.</t>
  </si>
  <si>
    <t>Consistent on short /k/ words; candidate for small phrase trial.</t>
  </si>
  <si>
    <t>short /k/ words</t>
  </si>
  <si>
    <t>not yet phrase-level</t>
  </si>
  <si>
    <t>Proud of practice</t>
  </si>
  <si>
    <t>Can we try 'my key' phrases?</t>
  </si>
  <si>
    <t>S011</t>
  </si>
  <si>
    <t>Gliding/weak rhoticity</t>
  </si>
  <si>
    <t>Word/sentence /r/ practice</t>
  </si>
  <si>
    <t>red, rabbit, rainbow</t>
  </si>
  <si>
    <t>Red was close. Rabbit sounded like wabbit.</t>
  </si>
  <si>
    <t>Initial /r/ emerging; rabbit remains hard.</t>
  </si>
  <si>
    <t>red</t>
  </si>
  <si>
    <t>rabbit</t>
  </si>
  <si>
    <t>Motivated by sticker chart</t>
  </si>
  <si>
    <t>Should we keep rabbit or swap easier words?</t>
  </si>
  <si>
    <t>Maintain word-level /r/</t>
  </si>
  <si>
    <t>S012</t>
  </si>
  <si>
    <t>red, robot, rain</t>
  </si>
  <si>
    <t>Robot and rain were better with slow start.</t>
  </si>
  <si>
    <t>Improved when slowing rate.</t>
  </si>
  <si>
    <t>robot/rain</t>
  </si>
  <si>
    <t>rabbit not practiced</t>
  </si>
  <si>
    <t>Focused for 8 minutes</t>
  </si>
  <si>
    <t>Can we add phrases after a few clear days?</t>
  </si>
  <si>
    <t>S013</t>
  </si>
  <si>
    <t>car, star, far</t>
  </si>
  <si>
    <t>Vocalic r was harder than initial r.</t>
  </si>
  <si>
    <t>Vocalic /r/ remains more difficult than initial /r/.</t>
  </si>
  <si>
    <t>red/robot from prior list</t>
  </si>
  <si>
    <t>car/star/far</t>
  </si>
  <si>
    <t>A little frustrated with car</t>
  </si>
  <si>
    <t>Should vocalic r be separate?</t>
  </si>
  <si>
    <t>S014</t>
  </si>
  <si>
    <t>red, robot, rabbit</t>
  </si>
  <si>
    <t>Rabbit was much clearer today after slow model.</t>
  </si>
  <si>
    <t>Noticeable improvement in initial /r/ at word level.</t>
  </si>
  <si>
    <t>none major</t>
  </si>
  <si>
    <t>Excited by progress</t>
  </si>
  <si>
    <t>Ready for sentences?</t>
  </si>
  <si>
    <t>S015</t>
  </si>
  <si>
    <t>red, rain, rainbow</t>
  </si>
  <si>
    <t>Clear on all three when using slow speech.</t>
  </si>
  <si>
    <t>Strong word-level clarity with pacing.</t>
  </si>
  <si>
    <t>red/rain/rainbow</t>
  </si>
  <si>
    <t>needs slow pace</t>
  </si>
  <si>
    <t>Confident</t>
  </si>
  <si>
    <t>Try short sentence with red?</t>
  </si>
  <si>
    <t>Increase to sentence-level with parent approval</t>
  </si>
  <si>
    <t>S016</t>
  </si>
  <si>
    <t>I see red; red robot</t>
  </si>
  <si>
    <t>Short sentences sounded close to clear.</t>
  </si>
  <si>
    <t>Sentence-level trial successful with familiar words.</t>
  </si>
  <si>
    <t>short sentence trial</t>
  </si>
  <si>
    <t>needs pacing</t>
  </si>
  <si>
    <t>Proud</t>
  </si>
  <si>
    <t>Increase to sentence level?</t>
  </si>
  <si>
    <t>S017</t>
  </si>
  <si>
    <t>The rabbit ran; red raincoat</t>
  </si>
  <si>
    <t>Good clarity in two short sentences.</t>
  </si>
  <si>
    <t>Maintaining clarity across short sentences.</t>
  </si>
  <si>
    <t>short sentences</t>
  </si>
  <si>
    <t>longer sentence pacing</t>
  </si>
  <si>
    <t>Focused</t>
  </si>
  <si>
    <t>Continue sentence level?</t>
  </si>
  <si>
    <t>S018</t>
  </si>
  <si>
    <t>Rainbow is red; robot rolls</t>
  </si>
  <si>
    <t>Mostly clear; one robot attempt sounded like wobot.</t>
  </si>
  <si>
    <t>Sentence practice mostly strong with occasional error.</t>
  </si>
  <si>
    <t>rainbow/red</t>
  </si>
  <si>
    <t>robot occasional gliding</t>
  </si>
  <si>
    <t>Engaged</t>
  </si>
  <si>
    <t>What should we do about robot?</t>
  </si>
  <si>
    <t>Continue sentence-level; monitor vocalic /r/</t>
  </si>
  <si>
    <t>S019</t>
  </si>
  <si>
    <t>Vocalic r still close but not clear.</t>
  </si>
  <si>
    <t>Vocalic /r/ remains a separate challenge; do not over-generalize.</t>
  </si>
  <si>
    <t>initial /r/</t>
  </si>
  <si>
    <t>vocalic /r/</t>
  </si>
  <si>
    <t>Slight frustration</t>
  </si>
  <si>
    <t>Should weekly plan split initial/vocalic r?</t>
  </si>
  <si>
    <t>S020</t>
  </si>
  <si>
    <t>Red rabbit ran</t>
  </si>
  <si>
    <t>Clear sentence after two warmups.</t>
  </si>
  <si>
    <t>Ready for more sentence practice with parent approval.</t>
  </si>
  <si>
    <t>sentence with repeated /r/</t>
  </si>
  <si>
    <t>warmup needed</t>
  </si>
  <si>
    <t>Happy</t>
  </si>
  <si>
    <t>Can we add short reading next?</t>
  </si>
  <si>
    <t>S021</t>
  </si>
  <si>
    <t>Lateral/dentalized /s/; blends difficult</t>
  </si>
  <si>
    <t>/s/ sentence and blend practice</t>
  </si>
  <si>
    <t>sun, soup, seven</t>
  </si>
  <si>
    <t>Clear when isolated and slow.</t>
  </si>
  <si>
    <t>Good sentence-level clarity early in the week.</t>
  </si>
  <si>
    <t>single /s/ words</t>
  </si>
  <si>
    <t>not blends yet</t>
  </si>
  <si>
    <t>Calm</t>
  </si>
  <si>
    <t>Can we add blends?</t>
  </si>
  <si>
    <t>Maintain sentence-level; monitor blends</t>
  </si>
  <si>
    <t>S022</t>
  </si>
  <si>
    <t>snake, smile, school</t>
  </si>
  <si>
    <t>Blends were close but required reminders.</t>
  </si>
  <si>
    <t>Blends harder than single /s/ words.</t>
  </si>
  <si>
    <t>sun/soup</t>
  </si>
  <si>
    <t>s-blends</t>
  </si>
  <si>
    <t>Motivated</t>
  </si>
  <si>
    <t>Should blends be separate?</t>
  </si>
  <si>
    <t>S023</t>
  </si>
  <si>
    <t>seven silly seals</t>
  </si>
  <si>
    <t>Close but airflow sounded slushy.</t>
  </si>
  <si>
    <t>Possible lateral/dentalized /s/ during repeated sentences.</t>
  </si>
  <si>
    <t>kept trying</t>
  </si>
  <si>
    <t>repeated /s/ sentence</t>
  </si>
  <si>
    <t>Okay but effortful</t>
  </si>
  <si>
    <t>Should we use shorter phrases?</t>
  </si>
  <si>
    <t>S024</t>
  </si>
  <si>
    <t>snake, school, smile</t>
  </si>
  <si>
    <t>He got frustrated and said it sounded wrong.</t>
  </si>
  <si>
    <t>Frustration and reduced accuracy during blend practice.</t>
  </si>
  <si>
    <t>attempted all items</t>
  </si>
  <si>
    <t>Frustrated after 6 minutes</t>
  </si>
  <si>
    <t>Should we reduce difficulty?</t>
  </si>
  <si>
    <t>Reduce to word/phrase level; monitor frustration</t>
  </si>
  <si>
    <t>Monitor</t>
  </si>
  <si>
    <t>S025</t>
  </si>
  <si>
    <t>sun, seal, sip</t>
  </si>
  <si>
    <t>Even easier words sounded slushy today.</t>
  </si>
  <si>
    <t>Performance declined from earlier sessions.</t>
  </si>
  <si>
    <t>completed practice</t>
  </si>
  <si>
    <t>single /s/ words declined</t>
  </si>
  <si>
    <t>Quiet and discouraged</t>
  </si>
  <si>
    <t>Is this regression worth mentioning?</t>
  </si>
  <si>
    <t>S026</t>
  </si>
  <si>
    <t>I see the sun</t>
  </si>
  <si>
    <t>Sentence was hard; wanted to stop.</t>
  </si>
  <si>
    <t>Sentence-level task too difficult right now.</t>
  </si>
  <si>
    <t>started practice</t>
  </si>
  <si>
    <t>sentence-level clarity</t>
  </si>
  <si>
    <t>Wanted to stop</t>
  </si>
  <si>
    <t>Should we go back to word level?</t>
  </si>
  <si>
    <t>S027</t>
  </si>
  <si>
    <t>soup, sun, see</t>
  </si>
  <si>
    <t>Needs practice again. Parent concerned because it used to be clear.</t>
  </si>
  <si>
    <t>Repeated difficulty after prior clear sessions; parent concern captured.</t>
  </si>
  <si>
    <t>some attempts</t>
  </si>
  <si>
    <t>clarity decreased</t>
  </si>
  <si>
    <t>Parent concerned; child frustrated</t>
  </si>
  <si>
    <t>Should I ask the SLP to review?</t>
  </si>
  <si>
    <t>S028</t>
  </si>
  <si>
    <t>sun, see, sip</t>
  </si>
  <si>
    <t>Better with a very slow model, but still not stable.</t>
  </si>
  <si>
    <t>Slight improvement with simplified words and model.</t>
  </si>
  <si>
    <t>slow model helped</t>
  </si>
  <si>
    <t>independent production</t>
  </si>
  <si>
    <t>More relaxed</t>
  </si>
  <si>
    <t>Continue simplified practice?</t>
  </si>
  <si>
    <t>Recommend therapist review; draft parent-approved update</t>
  </si>
  <si>
    <t>S029</t>
  </si>
  <si>
    <t>snake, school</t>
  </si>
  <si>
    <t>Blends made him frustrated again.</t>
  </si>
  <si>
    <t>Regression pattern continues with blends.</t>
  </si>
  <si>
    <t>recognized hard words</t>
  </si>
  <si>
    <t>blends/frustration</t>
  </si>
  <si>
    <t>Frustrated</t>
  </si>
  <si>
    <t>Should we pause blends?</t>
  </si>
  <si>
    <t>S030</t>
  </si>
  <si>
    <t>sun, soup, seal</t>
  </si>
  <si>
    <t>Still needs practice even with simple list.</t>
  </si>
  <si>
    <t>Ongoing difficulty after prior improvement; recommend therapist review.</t>
  </si>
  <si>
    <t>completed 5 minutes</t>
  </si>
  <si>
    <t>single words not stable</t>
  </si>
  <si>
    <t>Discouraged</t>
  </si>
  <si>
    <t>Can we send therapist a summary?</t>
  </si>
  <si>
    <t>Agent Decisions</t>
  </si>
  <si>
    <t>Audit log showing agent observations, decisions, and human-in-the-loop gates.</t>
  </si>
  <si>
    <t>Decision_ID</t>
  </si>
  <si>
    <t>Agent_Name</t>
  </si>
  <si>
    <t>Observation</t>
  </si>
  <si>
    <t>Decision</t>
  </si>
  <si>
    <t>Reason</t>
  </si>
  <si>
    <t>Confidence</t>
  </si>
  <si>
    <t>Human_Approval_Required</t>
  </si>
  <si>
    <t>Parent_Response</t>
  </si>
  <si>
    <t>Write_Action</t>
  </si>
  <si>
    <t>Status</t>
  </si>
  <si>
    <t>D001</t>
  </si>
  <si>
    <t>Progress Analysis Agent</t>
  </si>
  <si>
    <t>Ava has mixed ratings but short /k/ words are emerging.</t>
  </si>
  <si>
    <t>Maintain word-level practice</t>
  </si>
  <si>
    <t>Age 4 preschool child; short playful words are appropriate; not enough consistent clarity to increase.</t>
  </si>
  <si>
    <t>Medium</t>
  </si>
  <si>
    <t>N/A</t>
  </si>
  <si>
    <t>Save recommendation</t>
  </si>
  <si>
    <t>Completed</t>
  </si>
  <si>
    <t>D002</t>
  </si>
  <si>
    <t>Practice Planning Agent</t>
  </si>
  <si>
    <t>Ava had two clear/near-clear short-word sessions.</t>
  </si>
  <si>
    <t>Offer small phrase trial</t>
  </si>
  <si>
    <t>Parent can approve trying two-word phrases such as 'my key' while keeping most practice at word level.</t>
  </si>
  <si>
    <t>Pending</t>
  </si>
  <si>
    <t>Update practice level if approved</t>
  </si>
  <si>
    <t>D003</t>
  </si>
  <si>
    <t>Emma had three close/clear word-level /r/ sessions.</t>
  </si>
  <si>
    <t>Increase difficulty</t>
  </si>
  <si>
    <t>Progress trend supports sentence-level trial for initial /r/ with parent approval.</t>
  </si>
  <si>
    <t>High</t>
  </si>
  <si>
    <t>Approved</t>
  </si>
  <si>
    <t>Move from Word to Sentence</t>
  </si>
  <si>
    <t>D004</t>
  </si>
  <si>
    <t>Emma is strong with initial /r/ sentences but vocalic /r/ remains harder.</t>
  </si>
  <si>
    <t>Split plan</t>
  </si>
  <si>
    <t>Continue sentence-level initial /r/ and keep vocalic /r/ at word level.</t>
  </si>
  <si>
    <t>D005</t>
  </si>
  <si>
    <t>Noah moved from clear to needs practice on /s/ blends.</t>
  </si>
  <si>
    <t>Reduce difficulty</t>
  </si>
  <si>
    <t>Regression pattern plus frustration suggests simplifying to word/phrase level before more sentence practice.</t>
  </si>
  <si>
    <t>Reduce practice level if approved</t>
  </si>
  <si>
    <t>D006</t>
  </si>
  <si>
    <t>Summary &amp; Escalation Agent</t>
  </si>
  <si>
    <t>Noah has repeated Needs Practice ratings and parent concern after prior clear sessions.</t>
  </si>
  <si>
    <t>Ongoing difficulty and frustration after simplification triggers escalation recommendation; do not send without parent approval.</t>
  </si>
  <si>
    <t>Draft therapist update only</t>
  </si>
  <si>
    <t>Weekly Summaries</t>
  </si>
  <si>
    <t>Parent-friendly summaries that can be reviewed before sharing with an SLP.</t>
  </si>
  <si>
    <t>Summary_ID</t>
  </si>
  <si>
    <t>Sessions_Completed</t>
  </si>
  <si>
    <t>Trend</t>
  </si>
  <si>
    <t>Practice_Level_Recommendation</t>
  </si>
  <si>
    <t>Parent_Friendly_Summary</t>
  </si>
  <si>
    <t>Possible_SLP_Update_Draft</t>
  </si>
  <si>
    <t>Therapist_Review_Recommended</t>
  </si>
  <si>
    <t>Parent_Approval_Status</t>
  </si>
  <si>
    <t>W001</t>
  </si>
  <si>
    <t>Mixed</t>
  </si>
  <si>
    <t>Maintain word level</t>
  </si>
  <si>
    <t>Ava practiced /k/ words with picture cards. She stayed engaged but still used /t/ for /k/ on several words. Short words like 'key' are beginning to sound closer.</t>
  </si>
  <si>
    <t>Ava is practicing /k/ at word level. Key is improving, while cat/cow continue to sound fronted. Any additional home cue suggestions?</t>
  </si>
  <si>
    <t>W002</t>
  </si>
  <si>
    <t>Improving</t>
  </si>
  <si>
    <t>Consider tiny phrase trial with approval</t>
  </si>
  <si>
    <t>Ava is more consistent with short /k/ words. Longer words like cookie still need support. A parent-approved phrase trial may be appropriate.</t>
  </si>
  <si>
    <t>Ava is becoming clearer on short /k/ words and may be ready for short phrases like 'my key' while keeping longer words at word level.</t>
  </si>
  <si>
    <t>W003</t>
  </si>
  <si>
    <t>Increase to sentence level</t>
  </si>
  <si>
    <t>Emma improved on initial /r/ words and produced several clearer attempts after slowing down. Sentence-level trials are now reasonable with parent approval.</t>
  </si>
  <si>
    <t>Emma is showing stronger initial /r/ at word level. We are trying short sentences while keeping vocalic /r/ separate.</t>
  </si>
  <si>
    <t>W004</t>
  </si>
  <si>
    <t>Continue sentence level; separate vocalic /r/</t>
  </si>
  <si>
    <t>Emma is doing well with initial /r/ sentences. Vocalic /r/ words like car/star/far remain harder and should not be treated as the same level yet.</t>
  </si>
  <si>
    <t>Emma is progressing with initial /r/ sentences but vocalic /r/ remains harder. Should we split practice targets for next week?</t>
  </si>
  <si>
    <t>W005</t>
  </si>
  <si>
    <t>Stable to mixed</t>
  </si>
  <si>
    <t>Monitor blends</t>
  </si>
  <si>
    <t>Noah started the week clear on simpler /s/ words but needed reminders for blends such as snake, smile, and school.</t>
  </si>
  <si>
    <t>Noah is clearer on single /s/ words than /s/ blends. Should we keep blends in the plan?</t>
  </si>
  <si>
    <t>W006</t>
  </si>
  <si>
    <t>Regressing</t>
  </si>
  <si>
    <t>Reduce difficulty and request therapist review</t>
  </si>
  <si>
    <t>Noah had repeated Needs Practice ratings after prior clear sessions and showed frustration during /s/ blends and sentence practice. Therapist review may be helpful if parent approves sharing the summary.</t>
  </si>
  <si>
    <t>Noah showed a regression pattern: previously clear on /s/ words, now struggling even on simpler items, with frustration. Should we reduce difficulty and review the home plan?</t>
  </si>
  <si>
    <t>Practice Plan Examples</t>
  </si>
  <si>
    <t>Example LLM outputs the Practice Planning Agent should generate from child age, sound, level, and history.</t>
  </si>
  <si>
    <t>Plan_ID</t>
  </si>
  <si>
    <t>Plan_Type</t>
  </si>
  <si>
    <t>Sample_Plan</t>
  </si>
  <si>
    <t>Why_Age_Appropriate</t>
  </si>
  <si>
    <t>Parent_Cue</t>
  </si>
  <si>
    <t>HITL_Needed</t>
  </si>
  <si>
    <t>P001</t>
  </si>
  <si>
    <t>Younger child / simple game</t>
  </si>
  <si>
    <t>Practice 5 words with pictures: key, cow, cat, cup, car. Do 2 rounds, 5 minutes max. Add a toy reward after each try.</t>
  </si>
  <si>
    <t>Preschool child; short duration, concrete words, picture support, no reading passage.</t>
  </si>
  <si>
    <t>Try 'back sound' cue gently; model the word slowly; stop if frustrated.</t>
  </si>
  <si>
    <t>P002</t>
  </si>
  <si>
    <t>Improving / increase challenge</t>
  </si>
  <si>
    <t>Warm up with red, rabbit, rainbow. Then practice: 'The red rabbit ran.' 'The robot rolls.' 'I see a rainbow.'</t>
  </si>
  <si>
    <t>Age 7 can handle sentence practice and self-monitoring; plan separates initial /r/ from vocalic /r/.</t>
  </si>
  <si>
    <t>Slow first sound, then say the sentence smoothly.</t>
  </si>
  <si>
    <t>Yes - parent approves difficulty increase</t>
  </si>
  <si>
    <t>P003</t>
  </si>
  <si>
    <t>Reduced to Word/Phrase</t>
  </si>
  <si>
    <t>Regression / simplify</t>
  </si>
  <si>
    <t>Pause long /s/ sentences. Practice 5 easy words: sun, see, sip, soup, seal. Add phrases only if calm: 'see sun,' 'sip soup.'</t>
  </si>
  <si>
    <t>School-age child can reflect on frustration; plan reduces complexity to rebuild confidence.</t>
  </si>
  <si>
    <t>Use relaxed airflow; avoid repeating until frustrated; stop after 5–7 minutes.</t>
  </si>
  <si>
    <t>Yes - parent approves reduction/escalation summary</t>
  </si>
  <si>
    <t>Decision Rules</t>
  </si>
  <si>
    <t>Simple V1 rules the agent uses before asking Nebius to explain the recommendation. Rules are not clinical diagnosis.</t>
  </si>
  <si>
    <t>Rule_ID</t>
  </si>
  <si>
    <t>Suggested Agent Decision</t>
  </si>
  <si>
    <t>Escalation Flag</t>
  </si>
  <si>
    <t>Human Approval Required</t>
  </si>
  <si>
    <t>Notes</t>
  </si>
  <si>
    <t>R001</t>
  </si>
  <si>
    <t>Two or more strong sessions and parent notes are positive</t>
  </si>
  <si>
    <t>Increase difficulty one step</t>
  </si>
  <si>
    <t>Example: word → sentence. Parent approves before plan changes.</t>
  </si>
  <si>
    <t>R002</t>
  </si>
  <si>
    <t>Mixed ratings but no parent concern</t>
  </si>
  <si>
    <t>Maintain level</t>
  </si>
  <si>
    <t>Keep practice stable; generate alternative exercises if engagement is low.</t>
  </si>
  <si>
    <t>R003</t>
  </si>
  <si>
    <t>Repeated Needs Practice ratings but no prior improvement baseline</t>
  </si>
  <si>
    <t>Simplify or provide alternative exercises</t>
  </si>
  <si>
    <t>Parent reviews difficulty reduction before saving.</t>
  </si>
  <si>
    <t>R004</t>
  </si>
  <si>
    <t>Regression after prior clear/close sessions</t>
  </si>
  <si>
    <t>Reduce difficulty and monitor</t>
  </si>
  <si>
    <t>Agent should explain evidence from recent sessions.</t>
  </si>
  <si>
    <t>R005</t>
  </si>
  <si>
    <t>Three or more struggling sessions plus parent concern/frustration</t>
  </si>
  <si>
    <t>Agent drafts SLP update, but parent approves before sharing.</t>
  </si>
  <si>
    <t>R006</t>
  </si>
  <si>
    <t>Voice note entered</t>
  </si>
  <si>
    <t>Structure note after parent review</t>
  </si>
  <si>
    <t>Parent reviews transcription before the note is saved/structured.</t>
  </si>
  <si>
    <t>Chart helper table. Ratings use Clear=4, Close=3, Needs Practice=2, Unsure=1.</t>
  </si>
  <si>
    <t>Session_Number</t>
  </si>
  <si>
    <t>Ava /K/</t>
  </si>
  <si>
    <t>Emma /R/</t>
  </si>
  <si>
    <t>Noah /S/</t>
  </si>
  <si>
    <t>Lookup Lists</t>
  </si>
  <si>
    <t>Yes_No</t>
  </si>
  <si>
    <t>Sound Isolation</t>
  </si>
  <si>
    <t>Syllable</t>
  </si>
  <si>
    <t>Stable</t>
  </si>
  <si>
    <t>Low</t>
  </si>
  <si>
    <t>Unsure</t>
  </si>
  <si>
    <t>Phrase</t>
  </si>
  <si>
    <t>Declined</t>
  </si>
  <si>
    <t>Insufficient Data</t>
  </si>
  <si>
    <t>Short Reading</t>
  </si>
  <si>
    <t>Conversation</t>
  </si>
  <si>
    <t>Sources &amp; ReadMe</t>
  </si>
  <si>
    <t>Plain-text source URLs and scope notes used to shape realistic but fake examples.</t>
  </si>
  <si>
    <t>Topic</t>
  </si>
  <si>
    <t>How Used</t>
  </si>
  <si>
    <t>Source URL / Note</t>
  </si>
  <si>
    <t>Workbook scope</t>
  </si>
  <si>
    <t>This is fake/de-identified demo data for a classroom agentic AI prototype.</t>
  </si>
  <si>
    <t>No real child names, therapy records, PHI, or audio files should be used.</t>
  </si>
  <si>
    <t>Speech sound development / examples</t>
  </si>
  <si>
    <t>Used only to choose plausible target sounds and age-differentiated demo cases, not to diagnose.</t>
  </si>
  <si>
    <t>https://pubs.asha.org/doi/10.1044/2018_AJSLP-17-0100</t>
  </si>
  <si>
    <t>Speech sound disorder overview</t>
  </si>
  <si>
    <t>Used to reflect common error descriptions such as substitution/distortion/fronting at a high level.</t>
  </si>
  <si>
    <t>https://www.asha.org/Practice-Portal/clinical-Topics/Articulation-and-Phonology/</t>
  </si>
  <si>
    <t>Project framework</t>
  </si>
  <si>
    <t>Aligns workbook with state, tools, human-in-the-loop, and failure handling for Week 3 agentic AI project.</t>
  </si>
  <si>
    <t>Uploaded Week 3 Project Handout / Project guidelines</t>
  </si>
  <si>
    <t>Privacy note</t>
  </si>
  <si>
    <t>Prototype does not claim HIPAA compliance and should not be used with real PHI.</t>
  </si>
  <si>
    <t>Student prototype scope note</t>
  </si>
  <si>
    <t>SpeakMark Memory Workbook</t>
  </si>
  <si>
    <t>Avg Practice_Rating_Score</t>
  </si>
  <si>
    <t>Practice_Rating_Score</t>
  </si>
  <si>
    <t>Average_Practice_Rating_Score</t>
  </si>
  <si>
    <t>Practice_Rating_Score Timeline</t>
  </si>
  <si>
    <t>Dropdown values used by the SpeakMark prototype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</si>
</sst>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b/>
      <sz val="1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BFDBFE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165" fontId="0" fillId="0" borderId="0" xfId="0" applyNumberFormat="1" applyFont="1" applyFill="1" applyBorder="1" applyAlignment="1">
      <alignment vertical="top" wrapText="1"/>
    </xf>
    <xf numFmtId="0" fontId="5" fillId="6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horizontal="center"/>
    </xf>
    <xf numFmtId="14" fontId="4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16">
    <dxf>
      <fill>
        <patternFill patternType="solid">
          <bgColor rgb="FFFFEDD5"/>
        </patternFill>
      </fill>
    </dxf>
    <dxf>
      <fill>
        <patternFill patternType="solid">
          <bgColor rgb="FFFFEDD5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ill>
        <patternFill patternType="solid">
          <bgColor rgb="FFFFEDD5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FEF9C3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9C3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Rating Score Trend by Child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numRef>
              <c:f>Score_Timeline!$A$5:$A$14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Score_Timeline!$B$5:$B$14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9-42EF-BE55-18C28B0F4927}"/>
            </c:ext>
          </c:extLst>
        </c:ser>
        <c:ser>
          <c:idx val="1"/>
          <c:order val="1"/>
          <c:cat>
            <c:numRef>
              <c:f>Score_Timeline!$A$5:$A$14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Score_Timeline!$C$5:$C$14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9-42EF-BE55-18C28B0F4927}"/>
            </c:ext>
          </c:extLst>
        </c:ser>
        <c:ser>
          <c:idx val="2"/>
          <c:order val="2"/>
          <c:cat>
            <c:numRef>
              <c:f>Score_Timeline!$A$5:$A$14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Score_Timeline!$D$5:$D$14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F9-42EF-BE55-18C28B0F4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ldProfileTable" displayName="ChildProfileTable" ref="A4:K7">
  <tableColumns count="11">
    <tableColumn id="1" xr3:uid="{00000000-0010-0000-0000-000001000000}" name="Child_ID"/>
    <tableColumn id="2" xr3:uid="{00000000-0010-0000-0000-000002000000}" name="Child_Name"/>
    <tableColumn id="3" xr3:uid="{00000000-0010-0000-0000-000003000000}" name="Age"/>
    <tableColumn id="4" xr3:uid="{00000000-0010-0000-0000-000004000000}" name="Age_Group"/>
    <tableColumn id="5" xr3:uid="{00000000-0010-0000-0000-000005000000}" name="Target_Sound"/>
    <tableColumn id="6" xr3:uid="{00000000-0010-0000-0000-000006000000}" name="Primary_Error_Pattern"/>
    <tableColumn id="7" xr3:uid="{00000000-0010-0000-0000-000007000000}" name="Current_Level"/>
    <tableColumn id="8" xr3:uid="{00000000-0010-0000-0000-000008000000}" name="SLP_Goal_Summary"/>
    <tableColumn id="9" xr3:uid="{00000000-0010-0000-0000-000009000000}" name="Home_Practice_Focus"/>
    <tableColumn id="10" xr3:uid="{00000000-0010-0000-0000-00000A000000}" name="Demo_Case_Type"/>
    <tableColumn id="11" xr3:uid="{00000000-0010-0000-0000-00000B000000}" name="Privacy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herapistMaterialsTable" displayName="TherapistMaterialsTable" ref="A4:K8">
  <tableColumns count="11">
    <tableColumn id="1" xr3:uid="{00000000-0010-0000-0100-000001000000}" name="Material_ID"/>
    <tableColumn id="2" xr3:uid="{00000000-0010-0000-0100-000002000000}" name="Child_ID"/>
    <tableColumn id="3" xr3:uid="{00000000-0010-0000-0100-000003000000}" name="Date_Assigned"/>
    <tableColumn id="4" xr3:uid="{00000000-0010-0000-0100-000004000000}" name="Assigned_By"/>
    <tableColumn id="5" xr3:uid="{00000000-0010-0000-0100-000005000000}" name="Material_Type"/>
    <tableColumn id="6" xr3:uid="{00000000-0010-0000-0100-000006000000}" name="Target_Sound"/>
    <tableColumn id="7" xr3:uid="{00000000-0010-0000-0100-000007000000}" name="Practice_Level"/>
    <tableColumn id="8" xr3:uid="{00000000-0010-0000-0100-000008000000}" name="Material_Title"/>
    <tableColumn id="9" xr3:uid="{00000000-0010-0000-0100-000009000000}" name="Practice_Instructions"/>
    <tableColumn id="10" xr3:uid="{00000000-0010-0000-0100-00000A000000}" name="Example_Items"/>
    <tableColumn id="11" xr3:uid="{00000000-0010-0000-0100-00000B000000}" name="Parent_Feedback_Promp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acticeLogTable" displayName="PracticeLogTable" ref="A4:AA34">
  <tableColumns count="27">
    <tableColumn id="1" xr3:uid="{00000000-0010-0000-0200-000001000000}" name="Session_ID"/>
    <tableColumn id="2" xr3:uid="{00000000-0010-0000-0200-000002000000}" name="Child_ID"/>
    <tableColumn id="3" xr3:uid="{00000000-0010-0000-0200-000003000000}" name="Child_Name"/>
    <tableColumn id="4" xr3:uid="{00000000-0010-0000-0200-000004000000}" name="Age"/>
    <tableColumn id="5" xr3:uid="{00000000-0010-0000-0200-000005000000}" name="Date" dataDxfId="5"/>
    <tableColumn id="6" xr3:uid="{00000000-0010-0000-0200-000006000000}" name="Week_Ending" dataDxfId="4"/>
    <tableColumn id="7" xr3:uid="{00000000-0010-0000-0200-000007000000}" name="Therapist_Material_ID"/>
    <tableColumn id="8" xr3:uid="{00000000-0010-0000-0200-000008000000}" name="Target_Sound"/>
    <tableColumn id="9" xr3:uid="{00000000-0010-0000-0200-000009000000}" name="Primary_Error_Pattern"/>
    <tableColumn id="10" xr3:uid="{00000000-0010-0000-0200-00000A000000}" name="Practice_Level"/>
    <tableColumn id="11" xr3:uid="{00000000-0010-0000-0200-00000B000000}" name="Exercise_Type"/>
    <tableColumn id="12" xr3:uid="{00000000-0010-0000-0200-00000C000000}" name="Practice_Completed"/>
    <tableColumn id="13" xr3:uid="{00000000-0010-0000-0200-00000D000000}" name="Parent_Rating"/>
    <tableColumn id="14" xr3:uid="{00000000-0010-0000-0200-00000E000000}" name="Practice_Rating_Score"/>
    <tableColumn id="15" xr3:uid="{00000000-0010-0000-0200-00000F000000}" name="Words_Practiced"/>
    <tableColumn id="16" xr3:uid="{00000000-0010-0000-0200-000010000000}" name="Raw_Parent_Note"/>
    <tableColumn id="17" xr3:uid="{00000000-0010-0000-0200-000011000000}" name="Voice_Note_Used"/>
    <tableColumn id="18" xr3:uid="{00000000-0010-0000-0200-000012000000}" name="Parent_Reviewed_Note"/>
    <tableColumn id="19" xr3:uid="{00000000-0010-0000-0200-000013000000}" name="Structured_Observation"/>
    <tableColumn id="20" xr3:uid="{00000000-0010-0000-0200-000014000000}" name="What_Went_Well"/>
    <tableColumn id="21" xr3:uid="{00000000-0010-0000-0200-000015000000}" name="What_Was_Hard"/>
    <tableColumn id="22" xr3:uid="{00000000-0010-0000-0200-000016000000}" name="Child_Response"/>
    <tableColumn id="23" xr3:uid="{00000000-0010-0000-0200-000017000000}" name="Question_For_SLP"/>
    <tableColumn id="24" xr3:uid="{00000000-0010-0000-0200-000018000000}" name="Duration_Minutes"/>
    <tableColumn id="25" xr3:uid="{00000000-0010-0000-0200-000019000000}" name="Agent_Decision"/>
    <tableColumn id="26" xr3:uid="{00000000-0010-0000-0200-00001A000000}" name="Escalation_Flag"/>
    <tableColumn id="27" xr3:uid="{00000000-0010-0000-0200-00001B000000}" name="HITL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gentDecisionTable" displayName="AgentDecisionTable" ref="A4:L10">
  <tableColumns count="12">
    <tableColumn id="1" xr3:uid="{00000000-0010-0000-0300-000001000000}" name="Decision_ID"/>
    <tableColumn id="2" xr3:uid="{00000000-0010-0000-0300-000002000000}" name="Child_ID"/>
    <tableColumn id="3" xr3:uid="{00000000-0010-0000-0300-000003000000}" name="Date" dataDxfId="3"/>
    <tableColumn id="4" xr3:uid="{00000000-0010-0000-0300-000004000000}" name="Agent_Name"/>
    <tableColumn id="5" xr3:uid="{00000000-0010-0000-0300-000005000000}" name="Observation"/>
    <tableColumn id="6" xr3:uid="{00000000-0010-0000-0300-000006000000}" name="Decision"/>
    <tableColumn id="7" xr3:uid="{00000000-0010-0000-0300-000007000000}" name="Reason"/>
    <tableColumn id="8" xr3:uid="{00000000-0010-0000-0300-000008000000}" name="Confidence"/>
    <tableColumn id="9" xr3:uid="{00000000-0010-0000-0300-000009000000}" name="Human_Approval_Required"/>
    <tableColumn id="10" xr3:uid="{00000000-0010-0000-0300-00000A000000}" name="Parent_Response"/>
    <tableColumn id="11" xr3:uid="{00000000-0010-0000-0300-00000B000000}" name="Write_Action"/>
    <tableColumn id="12" xr3:uid="{00000000-0010-0000-0300-00000C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eklySummariesTable" displayName="WeeklySummariesTable" ref="A4:L10">
  <tableColumns count="12">
    <tableColumn id="1" xr3:uid="{00000000-0010-0000-0400-000001000000}" name="Summary_ID"/>
    <tableColumn id="2" xr3:uid="{00000000-0010-0000-0400-000002000000}" name="Child_ID"/>
    <tableColumn id="3" xr3:uid="{00000000-0010-0000-0400-000003000000}" name="Child_Name"/>
    <tableColumn id="4" xr3:uid="{00000000-0010-0000-0400-000004000000}" name="Week_Ending" dataDxfId="2"/>
    <tableColumn id="5" xr3:uid="{00000000-0010-0000-0400-000005000000}" name="Sessions_Completed"/>
    <tableColumn id="6" xr3:uid="{00000000-0010-0000-0400-000006000000}" name="Trend"/>
    <tableColumn id="7" xr3:uid="{00000000-0010-0000-0400-000007000000}" name="Average_Practice_Rating_Score"/>
    <tableColumn id="8" xr3:uid="{00000000-0010-0000-0400-000008000000}" name="Practice_Level_Recommendation"/>
    <tableColumn id="9" xr3:uid="{00000000-0010-0000-0400-000009000000}" name="Parent_Friendly_Summary"/>
    <tableColumn id="10" xr3:uid="{00000000-0010-0000-0400-00000A000000}" name="Possible_SLP_Update_Draft"/>
    <tableColumn id="11" xr3:uid="{00000000-0010-0000-0400-00000B000000}" name="Therapist_Review_Recommended"/>
    <tableColumn id="12" xr3:uid="{00000000-0010-0000-0400-00000C000000}" name="Parent_Approval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acticePlanExamplesTable" displayName="PracticePlanExamplesTable" ref="A4:K7">
  <tableColumns count="11">
    <tableColumn id="1" xr3:uid="{00000000-0010-0000-0500-000001000000}" name="Plan_ID"/>
    <tableColumn id="2" xr3:uid="{00000000-0010-0000-0500-000002000000}" name="Child_ID"/>
    <tableColumn id="3" xr3:uid="{00000000-0010-0000-0500-000003000000}" name="Child_Name"/>
    <tableColumn id="4" xr3:uid="{00000000-0010-0000-0500-000004000000}" name="Age"/>
    <tableColumn id="5" xr3:uid="{00000000-0010-0000-0500-000005000000}" name="Target_Sound"/>
    <tableColumn id="6" xr3:uid="{00000000-0010-0000-0500-000006000000}" name="Practice_Level"/>
    <tableColumn id="7" xr3:uid="{00000000-0010-0000-0500-000007000000}" name="Plan_Type"/>
    <tableColumn id="8" xr3:uid="{00000000-0010-0000-0500-000008000000}" name="Sample_Plan"/>
    <tableColumn id="9" xr3:uid="{00000000-0010-0000-0500-000009000000}" name="Why_Age_Appropriate"/>
    <tableColumn id="10" xr3:uid="{00000000-0010-0000-0500-00000A000000}" name="Parent_Cue"/>
    <tableColumn id="11" xr3:uid="{00000000-0010-0000-0500-00000B000000}" name="HITL_Need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cisionRulesTable" displayName="DecisionRulesTable" ref="A4:F10">
  <tableColumns count="6">
    <tableColumn id="1" xr3:uid="{00000000-0010-0000-0600-000001000000}" name="Rule_ID"/>
    <tableColumn id="2" xr3:uid="{00000000-0010-0000-0600-000002000000}" name="Observation"/>
    <tableColumn id="3" xr3:uid="{00000000-0010-0000-0600-000003000000}" name="Suggested Agent Decision"/>
    <tableColumn id="4" xr3:uid="{00000000-0010-0000-0600-000004000000}" name="Escalation Flag"/>
    <tableColumn id="5" xr3:uid="{00000000-0010-0000-0600-000005000000}" name="Human Approval Required"/>
    <tableColumn id="6" xr3:uid="{00000000-0010-0000-0600-000006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coreTimelineTable" displayName="ScoreTimelineTable" ref="A4:D14">
  <tableColumns count="4">
    <tableColumn id="1" xr3:uid="{00000000-0010-0000-0700-000001000000}" name="Session_Number"/>
    <tableColumn id="2" xr3:uid="{00000000-0010-0000-0700-000002000000}" name="Ava /K/"/>
    <tableColumn id="3" xr3:uid="{00000000-0010-0000-0700-000003000000}" name="Emma /R/"/>
    <tableColumn id="4" xr3:uid="{00000000-0010-0000-0700-000004000000}" name="Noah /S/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4:C9">
  <tableColumns count="3">
    <tableColumn id="1" xr3:uid="{00000000-0010-0000-0800-000001000000}" name="Topic"/>
    <tableColumn id="2" xr3:uid="{00000000-0010-0000-0800-000002000000}" name="How Used"/>
    <tableColumn id="3" xr3:uid="{00000000-0010-0000-0800-000003000000}" name="Source URL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3" workbookViewId="0">
      <selection activeCell="F7" sqref="F7"/>
    </sheetView>
  </sheetViews>
  <sheetFormatPr defaultRowHeight="13.8"/>
  <cols>
    <col min="1" max="1" width="10" customWidth="1"/>
    <col min="2" max="2" width="30" customWidth="1"/>
    <col min="3" max="3" width="58" customWidth="1"/>
    <col min="4" max="5" width="14" customWidth="1"/>
    <col min="6" max="6" width="19.3984375" customWidth="1"/>
    <col min="7" max="7" width="30" customWidth="1"/>
  </cols>
  <sheetData>
    <row r="1" spans="1:8" ht="22.35" customHeight="1">
      <c r="A1" s="7" t="s">
        <v>576</v>
      </c>
      <c r="B1" s="8"/>
      <c r="C1" s="8"/>
      <c r="D1" s="8"/>
      <c r="E1" s="8"/>
      <c r="F1" s="8"/>
      <c r="G1" s="8"/>
      <c r="H1" s="8"/>
    </row>
    <row r="2" spans="1:8" ht="24" customHeight="1">
      <c r="A2" s="9" t="s">
        <v>0</v>
      </c>
      <c r="B2" s="8"/>
      <c r="C2" s="8"/>
      <c r="D2" s="8"/>
      <c r="E2" s="8"/>
      <c r="F2" s="8"/>
      <c r="G2" s="8"/>
      <c r="H2" s="8"/>
    </row>
    <row r="4" spans="1:8" ht="15.6">
      <c r="A4" s="10" t="s">
        <v>1</v>
      </c>
      <c r="B4" s="8"/>
      <c r="C4" s="8"/>
    </row>
    <row r="5" spans="1:8" ht="25.65" customHeight="1">
      <c r="A5" s="2" t="s">
        <v>2</v>
      </c>
      <c r="B5" s="2" t="s">
        <v>3</v>
      </c>
      <c r="C5" s="2" t="s">
        <v>4</v>
      </c>
    </row>
    <row r="6" spans="1:8" ht="27.6">
      <c r="A6" s="3" t="s">
        <v>5</v>
      </c>
      <c r="B6" s="6">
        <f>COUNTA(Child_Profile!A5:A7)</f>
        <v>3</v>
      </c>
      <c r="C6" s="3" t="s">
        <v>6</v>
      </c>
    </row>
    <row r="7" spans="1:8" ht="27.6">
      <c r="A7" s="3" t="s">
        <v>7</v>
      </c>
      <c r="B7" s="6">
        <f>COUNTIF(Practice_Log!L5:L34,"Yes")</f>
        <v>30</v>
      </c>
      <c r="C7" s="3" t="s">
        <v>8</v>
      </c>
    </row>
    <row r="8" spans="1:8" ht="27.6">
      <c r="A8" s="3" t="s">
        <v>9</v>
      </c>
      <c r="B8" s="6">
        <f>COUNTIF(Practice_Log!Z5:Z34,"Yes")</f>
        <v>3</v>
      </c>
      <c r="C8" s="3" t="s">
        <v>10</v>
      </c>
    </row>
    <row r="9" spans="1:8" ht="27.6">
      <c r="A9" s="3" t="s">
        <v>11</v>
      </c>
      <c r="B9" s="6">
        <f>COUNTIF(Agent_Decisions!L5:L10,"Pending Parent Review")</f>
        <v>3</v>
      </c>
      <c r="C9" s="3" t="s">
        <v>12</v>
      </c>
    </row>
    <row r="11" spans="1:8" ht="15.6">
      <c r="A11" s="10" t="s">
        <v>13</v>
      </c>
      <c r="B11" s="8"/>
      <c r="C11" s="8"/>
      <c r="D11" s="8"/>
      <c r="E11" s="8"/>
      <c r="F11" s="8"/>
      <c r="G11" s="8"/>
    </row>
    <row r="12" spans="1:8" ht="25.65" customHeigh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577</v>
      </c>
      <c r="G12" s="2" t="s">
        <v>19</v>
      </c>
    </row>
    <row r="13" spans="1:8">
      <c r="A13" s="3" t="s">
        <v>20</v>
      </c>
      <c r="B13" s="3" t="s">
        <v>21</v>
      </c>
      <c r="C13" s="3">
        <v>4</v>
      </c>
      <c r="D13" s="3" t="s">
        <v>22</v>
      </c>
      <c r="E13" s="3">
        <f>COUNTIFS(Practice_Log!$B$5:$B$34,A13,Practice_Log!$L$5:$L$34,"Yes")</f>
        <v>10</v>
      </c>
      <c r="F13" s="5">
        <f>IFERROR(SUMIFS(Practice_Log!$N$5:$N$34,Practice_Log!$B$5:$B$34,A13)/COUNTIFS(Practice_Log!$B$5:$B$34,A13),"")</f>
        <v>2.9</v>
      </c>
      <c r="G13" s="3" t="s">
        <v>23</v>
      </c>
    </row>
    <row r="14" spans="1:8">
      <c r="A14" s="3" t="s">
        <v>24</v>
      </c>
      <c r="B14" s="3" t="s">
        <v>25</v>
      </c>
      <c r="C14" s="3">
        <v>7</v>
      </c>
      <c r="D14" s="3" t="s">
        <v>26</v>
      </c>
      <c r="E14" s="3">
        <f>COUNTIFS(Practice_Log!$B$5:$B$34,A14,Practice_Log!$L$5:$L$34,"Yes")</f>
        <v>10</v>
      </c>
      <c r="F14" s="5">
        <f>IFERROR(SUMIFS(Practice_Log!$N$5:$N$34,Practice_Log!$B$5:$B$34,A14)/COUNTIFS(Practice_Log!$B$5:$B$34,A14),"")</f>
        <v>3.6</v>
      </c>
      <c r="G14" s="3" t="s">
        <v>27</v>
      </c>
    </row>
    <row r="15" spans="1:8">
      <c r="A15" s="3" t="s">
        <v>28</v>
      </c>
      <c r="B15" s="3" t="s">
        <v>29</v>
      </c>
      <c r="C15" s="3">
        <v>8</v>
      </c>
      <c r="D15" s="3" t="s">
        <v>30</v>
      </c>
      <c r="E15" s="3">
        <f>COUNTIFS(Practice_Log!$B$5:$B$34,A15,Practice_Log!$L$5:$L$34,"Yes")</f>
        <v>10</v>
      </c>
      <c r="F15" s="5">
        <f>IFERROR(SUMIFS(Practice_Log!$N$5:$N$34,Practice_Log!$B$5:$B$34,A15)/COUNTIFS(Practice_Log!$B$5:$B$34,A15),"")</f>
        <v>2.6</v>
      </c>
      <c r="G15" s="3" t="s">
        <v>31</v>
      </c>
    </row>
    <row r="18" spans="1:7" ht="15.6">
      <c r="A18" s="10" t="s">
        <v>32</v>
      </c>
      <c r="B18" s="8"/>
      <c r="C18" s="8"/>
      <c r="D18" s="8"/>
      <c r="E18" s="8"/>
      <c r="F18" s="8"/>
      <c r="G18" s="8"/>
    </row>
    <row r="19" spans="1:7" ht="25.65" customHeight="1">
      <c r="A19" s="2" t="s">
        <v>33</v>
      </c>
      <c r="B19" s="2" t="s">
        <v>34</v>
      </c>
      <c r="C19" s="2" t="s">
        <v>35</v>
      </c>
    </row>
    <row r="20" spans="1:7">
      <c r="A20" s="3" t="s">
        <v>36</v>
      </c>
      <c r="B20" s="3" t="s">
        <v>37</v>
      </c>
      <c r="C20" s="3" t="s">
        <v>38</v>
      </c>
    </row>
    <row r="21" spans="1:7">
      <c r="A21" s="3" t="s">
        <v>39</v>
      </c>
      <c r="B21" s="3" t="s">
        <v>40</v>
      </c>
      <c r="C21" s="3" t="s">
        <v>41</v>
      </c>
    </row>
    <row r="22" spans="1:7">
      <c r="A22" s="3" t="s">
        <v>42</v>
      </c>
      <c r="B22" s="3" t="s">
        <v>43</v>
      </c>
      <c r="C22" s="3" t="s">
        <v>44</v>
      </c>
    </row>
    <row r="23" spans="1:7">
      <c r="A23" s="3" t="s">
        <v>45</v>
      </c>
      <c r="B23" s="3" t="s">
        <v>46</v>
      </c>
      <c r="C23" s="3" t="s">
        <v>47</v>
      </c>
    </row>
    <row r="24" spans="1:7">
      <c r="A24" s="3" t="s">
        <v>48</v>
      </c>
      <c r="B24" s="3" t="s">
        <v>49</v>
      </c>
      <c r="C24" s="3" t="s">
        <v>50</v>
      </c>
    </row>
  </sheetData>
  <mergeCells count="5">
    <mergeCell ref="A1:H1"/>
    <mergeCell ref="A2:H2"/>
    <mergeCell ref="A4:C4"/>
    <mergeCell ref="A11:G11"/>
    <mergeCell ref="A18:G18"/>
  </mergeCells>
  <conditionalFormatting sqref="A13:G15">
    <cfRule type="expression" dxfId="15" priority="1">
      <formula>$G13="Recommend therapist review"</formula>
    </cfRule>
    <cfRule type="expression" dxfId="14" priority="2">
      <formula>ISNUMBER(SEARCH("Increase",$G13))</formula>
    </cfRule>
    <cfRule type="expression" dxfId="13" priority="3">
      <formula>ISNUMBER(SEARCH("phrase",$G13))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B25" sqref="B25"/>
    </sheetView>
  </sheetViews>
  <sheetFormatPr defaultRowHeight="13.8"/>
  <cols>
    <col min="1" max="1" width="10" customWidth="1"/>
    <col min="2" max="2" width="12" customWidth="1"/>
    <col min="3" max="3" width="8" customWidth="1"/>
    <col min="4" max="4" width="16" customWidth="1"/>
    <col min="5" max="5" width="12" customWidth="1"/>
    <col min="6" max="6" width="36" customWidth="1"/>
    <col min="7" max="7" width="16" customWidth="1"/>
    <col min="8" max="9" width="38" customWidth="1"/>
    <col min="10" max="10" width="30" customWidth="1"/>
    <col min="11" max="11" width="28" customWidth="1"/>
  </cols>
  <sheetData>
    <row r="1" spans="1:11" ht="22.35" customHeight="1">
      <c r="A1" s="7" t="s">
        <v>51</v>
      </c>
      <c r="B1" s="8"/>
      <c r="C1" s="8"/>
      <c r="D1" s="8"/>
      <c r="E1" s="8"/>
      <c r="F1" s="8"/>
      <c r="G1" s="8"/>
      <c r="H1" s="8"/>
    </row>
    <row r="2" spans="1:11" ht="24" customHeight="1">
      <c r="A2" s="9" t="s">
        <v>52</v>
      </c>
      <c r="B2" s="8"/>
      <c r="C2" s="8"/>
      <c r="D2" s="8"/>
      <c r="E2" s="8"/>
      <c r="F2" s="8"/>
      <c r="G2" s="8"/>
      <c r="H2" s="8"/>
    </row>
    <row r="4" spans="1:11" ht="25.65" customHeight="1">
      <c r="A4" s="2" t="s">
        <v>14</v>
      </c>
      <c r="B4" s="2" t="s">
        <v>53</v>
      </c>
      <c r="C4" s="2" t="s">
        <v>16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</row>
    <row r="5" spans="1:11" ht="27.6">
      <c r="A5" s="3" t="s">
        <v>20</v>
      </c>
      <c r="B5" s="3" t="s">
        <v>21</v>
      </c>
      <c r="C5" s="3">
        <v>4</v>
      </c>
      <c r="D5" s="3" t="s">
        <v>62</v>
      </c>
      <c r="E5" s="3" t="s">
        <v>22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</row>
    <row r="6" spans="1:11" ht="27.6">
      <c r="A6" s="3" t="s">
        <v>24</v>
      </c>
      <c r="B6" s="3" t="s">
        <v>25</v>
      </c>
      <c r="C6" s="3">
        <v>7</v>
      </c>
      <c r="D6" s="3" t="s">
        <v>69</v>
      </c>
      <c r="E6" s="3" t="s">
        <v>26</v>
      </c>
      <c r="F6" s="3" t="s">
        <v>70</v>
      </c>
      <c r="G6" s="3" t="s">
        <v>64</v>
      </c>
      <c r="H6" s="3" t="s">
        <v>71</v>
      </c>
      <c r="I6" s="3" t="s">
        <v>72</v>
      </c>
      <c r="J6" s="3" t="s">
        <v>73</v>
      </c>
      <c r="K6" s="3" t="s">
        <v>68</v>
      </c>
    </row>
    <row r="7" spans="1:11" ht="27.6">
      <c r="A7" s="3" t="s">
        <v>28</v>
      </c>
      <c r="B7" s="3" t="s">
        <v>29</v>
      </c>
      <c r="C7" s="3">
        <v>8</v>
      </c>
      <c r="D7" s="3" t="s">
        <v>74</v>
      </c>
      <c r="E7" s="3" t="s">
        <v>30</v>
      </c>
      <c r="F7" s="3" t="s">
        <v>75</v>
      </c>
      <c r="G7" s="3" t="s">
        <v>76</v>
      </c>
      <c r="H7" s="3" t="s">
        <v>77</v>
      </c>
      <c r="I7" s="3" t="s">
        <v>78</v>
      </c>
      <c r="J7" s="3" t="s">
        <v>79</v>
      </c>
      <c r="K7" s="3" t="s">
        <v>68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H13" sqref="H13"/>
    </sheetView>
  </sheetViews>
  <sheetFormatPr defaultRowHeight="13.8"/>
  <cols>
    <col min="1" max="1" width="12" customWidth="1"/>
    <col min="2" max="2" width="10" customWidth="1"/>
    <col min="3" max="3" width="14" customWidth="1"/>
    <col min="4" max="4" width="12" customWidth="1"/>
    <col min="5" max="5" width="22" customWidth="1"/>
    <col min="6" max="6" width="12" customWidth="1"/>
    <col min="7" max="7" width="16" customWidth="1"/>
    <col min="8" max="8" width="28" customWidth="1"/>
    <col min="9" max="9" width="45" customWidth="1"/>
    <col min="10" max="10" width="30" customWidth="1"/>
    <col min="11" max="11" width="45" customWidth="1"/>
  </cols>
  <sheetData>
    <row r="1" spans="1:11" ht="22.35" customHeight="1">
      <c r="A1" s="7" t="s">
        <v>80</v>
      </c>
      <c r="B1" s="8"/>
      <c r="C1" s="8"/>
      <c r="D1" s="8"/>
      <c r="E1" s="8"/>
      <c r="F1" s="8"/>
      <c r="G1" s="8"/>
      <c r="H1" s="8"/>
    </row>
    <row r="2" spans="1:11" ht="24" customHeight="1">
      <c r="A2" s="9" t="s">
        <v>81</v>
      </c>
      <c r="B2" s="8"/>
      <c r="C2" s="8"/>
      <c r="D2" s="8"/>
      <c r="E2" s="8"/>
      <c r="F2" s="8"/>
      <c r="G2" s="8"/>
      <c r="H2" s="8"/>
    </row>
    <row r="4" spans="1:11" ht="25.65" customHeight="1">
      <c r="A4" s="2" t="s">
        <v>82</v>
      </c>
      <c r="B4" s="2" t="s">
        <v>14</v>
      </c>
      <c r="C4" s="2" t="s">
        <v>83</v>
      </c>
      <c r="D4" s="2" t="s">
        <v>84</v>
      </c>
      <c r="E4" s="2" t="s">
        <v>85</v>
      </c>
      <c r="F4" s="2" t="s">
        <v>55</v>
      </c>
      <c r="G4" s="2" t="s">
        <v>86</v>
      </c>
      <c r="H4" s="2" t="s">
        <v>87</v>
      </c>
      <c r="I4" s="2" t="s">
        <v>88</v>
      </c>
      <c r="J4" s="2" t="s">
        <v>89</v>
      </c>
      <c r="K4" s="2" t="s">
        <v>90</v>
      </c>
    </row>
    <row r="5" spans="1:11" ht="27.6">
      <c r="A5" s="3" t="s">
        <v>91</v>
      </c>
      <c r="B5" s="3" t="s">
        <v>20</v>
      </c>
      <c r="C5" s="4">
        <v>46174</v>
      </c>
      <c r="D5" s="3" t="s">
        <v>92</v>
      </c>
      <c r="E5" s="3" t="s">
        <v>93</v>
      </c>
      <c r="F5" s="3" t="s">
        <v>22</v>
      </c>
      <c r="G5" s="3" t="s">
        <v>64</v>
      </c>
      <c r="H5" s="3" t="s">
        <v>94</v>
      </c>
      <c r="I5" s="3" t="s">
        <v>95</v>
      </c>
      <c r="J5" s="3" t="s">
        <v>96</v>
      </c>
      <c r="K5" s="3" t="s">
        <v>97</v>
      </c>
    </row>
    <row r="6" spans="1:11" ht="27.6">
      <c r="A6" s="3" t="s">
        <v>98</v>
      </c>
      <c r="B6" s="3" t="s">
        <v>24</v>
      </c>
      <c r="C6" s="4">
        <v>46174</v>
      </c>
      <c r="D6" s="3" t="s">
        <v>92</v>
      </c>
      <c r="E6" s="3" t="s">
        <v>99</v>
      </c>
      <c r="F6" s="3" t="s">
        <v>26</v>
      </c>
      <c r="G6" s="3" t="s">
        <v>64</v>
      </c>
      <c r="H6" s="3" t="s">
        <v>100</v>
      </c>
      <c r="I6" s="3" t="s">
        <v>101</v>
      </c>
      <c r="J6" s="3" t="s">
        <v>102</v>
      </c>
      <c r="K6" s="3" t="s">
        <v>103</v>
      </c>
    </row>
    <row r="7" spans="1:11" ht="27.6">
      <c r="A7" s="3" t="s">
        <v>104</v>
      </c>
      <c r="B7" s="3" t="s">
        <v>28</v>
      </c>
      <c r="C7" s="4">
        <v>46174</v>
      </c>
      <c r="D7" s="3" t="s">
        <v>92</v>
      </c>
      <c r="E7" s="3" t="s">
        <v>105</v>
      </c>
      <c r="F7" s="3" t="s">
        <v>30</v>
      </c>
      <c r="G7" s="3" t="s">
        <v>76</v>
      </c>
      <c r="H7" s="3" t="s">
        <v>106</v>
      </c>
      <c r="I7" s="3" t="s">
        <v>107</v>
      </c>
      <c r="J7" s="3" t="s">
        <v>108</v>
      </c>
      <c r="K7" s="3" t="s">
        <v>109</v>
      </c>
    </row>
    <row r="8" spans="1:11" ht="27.6">
      <c r="A8" s="3" t="s">
        <v>110</v>
      </c>
      <c r="B8" s="3" t="s">
        <v>28</v>
      </c>
      <c r="C8" s="4">
        <v>46181</v>
      </c>
      <c r="D8" s="3" t="s">
        <v>92</v>
      </c>
      <c r="E8" s="3" t="s">
        <v>111</v>
      </c>
      <c r="F8" s="3" t="s">
        <v>30</v>
      </c>
      <c r="G8" s="3" t="s">
        <v>76</v>
      </c>
      <c r="H8" s="3" t="s">
        <v>112</v>
      </c>
      <c r="I8" s="3" t="s">
        <v>113</v>
      </c>
      <c r="J8" s="3" t="s">
        <v>114</v>
      </c>
      <c r="K8" s="3" t="s">
        <v>115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4"/>
  <sheetViews>
    <sheetView tabSelected="1" topLeftCell="A21" workbookViewId="0">
      <selection activeCell="F24" sqref="F24"/>
    </sheetView>
  </sheetViews>
  <sheetFormatPr defaultRowHeight="13.8"/>
  <cols>
    <col min="1" max="1" width="12" customWidth="1"/>
    <col min="2" max="2" width="10" customWidth="1"/>
    <col min="3" max="3" width="12" customWidth="1"/>
    <col min="4" max="4" width="8" customWidth="1"/>
    <col min="5" max="5" width="12" style="13" customWidth="1"/>
    <col min="6" max="6" width="16.5" style="13" customWidth="1"/>
    <col min="7" max="7" width="16" customWidth="1"/>
    <col min="8" max="8" width="12" customWidth="1"/>
    <col min="9" max="9" width="30" customWidth="1"/>
    <col min="10" max="10" width="16" customWidth="1"/>
    <col min="11" max="11" width="22" customWidth="1"/>
    <col min="12" max="12" width="18" customWidth="1"/>
    <col min="13" max="13" width="16" customWidth="1"/>
    <col min="14" max="14" width="12" customWidth="1"/>
    <col min="15" max="15" width="25" customWidth="1"/>
    <col min="16" max="16" width="42" customWidth="1"/>
    <col min="17" max="17" width="14" customWidth="1"/>
    <col min="18" max="18" width="18" customWidth="1"/>
    <col min="19" max="19" width="42" customWidth="1"/>
    <col min="20" max="21" width="28" customWidth="1"/>
    <col min="22" max="22" width="25" customWidth="1"/>
    <col min="23" max="23" width="35" customWidth="1"/>
    <col min="24" max="24" width="14" customWidth="1"/>
    <col min="25" max="25" width="35" customWidth="1"/>
    <col min="26" max="26" width="14" customWidth="1"/>
    <col min="27" max="27" width="22" customWidth="1"/>
  </cols>
  <sheetData>
    <row r="1" spans="1:27" ht="22.35" customHeight="1">
      <c r="A1" s="7" t="s">
        <v>116</v>
      </c>
      <c r="B1" s="8"/>
      <c r="C1" s="8"/>
      <c r="D1" s="8"/>
      <c r="E1" s="8"/>
      <c r="F1" s="8"/>
      <c r="G1" s="8"/>
      <c r="H1" s="8"/>
    </row>
    <row r="2" spans="1:27" ht="24" customHeight="1">
      <c r="A2" s="9" t="s">
        <v>117</v>
      </c>
      <c r="B2" s="8"/>
      <c r="C2" s="8"/>
      <c r="D2" s="8"/>
      <c r="E2" s="8"/>
      <c r="F2" s="8"/>
      <c r="G2" s="8"/>
      <c r="H2" s="8"/>
    </row>
    <row r="4" spans="1:27" ht="25.65" customHeight="1">
      <c r="A4" s="2" t="s">
        <v>118</v>
      </c>
      <c r="B4" s="2" t="s">
        <v>14</v>
      </c>
      <c r="C4" s="2" t="s">
        <v>53</v>
      </c>
      <c r="D4" s="2" t="s">
        <v>16</v>
      </c>
      <c r="E4" s="11" t="s">
        <v>119</v>
      </c>
      <c r="F4" s="11" t="s">
        <v>120</v>
      </c>
      <c r="G4" s="2" t="s">
        <v>121</v>
      </c>
      <c r="H4" s="2" t="s">
        <v>55</v>
      </c>
      <c r="I4" s="2" t="s">
        <v>56</v>
      </c>
      <c r="J4" s="2" t="s">
        <v>86</v>
      </c>
      <c r="K4" s="2" t="s">
        <v>122</v>
      </c>
      <c r="L4" s="2" t="s">
        <v>123</v>
      </c>
      <c r="M4" s="2" t="s">
        <v>124</v>
      </c>
      <c r="N4" s="2" t="s">
        <v>578</v>
      </c>
      <c r="O4" s="2" t="s">
        <v>126</v>
      </c>
      <c r="P4" s="2" t="s">
        <v>127</v>
      </c>
      <c r="Q4" s="2" t="s">
        <v>128</v>
      </c>
      <c r="R4" s="2" t="s">
        <v>129</v>
      </c>
      <c r="S4" s="2" t="s">
        <v>130</v>
      </c>
      <c r="T4" s="2" t="s">
        <v>131</v>
      </c>
      <c r="U4" s="2" t="s">
        <v>132</v>
      </c>
      <c r="V4" s="2" t="s">
        <v>133</v>
      </c>
      <c r="W4" s="2" t="s">
        <v>134</v>
      </c>
      <c r="X4" s="2" t="s">
        <v>135</v>
      </c>
      <c r="Y4" s="2" t="s">
        <v>136</v>
      </c>
      <c r="Z4" s="2" t="s">
        <v>137</v>
      </c>
      <c r="AA4" s="2" t="s">
        <v>138</v>
      </c>
    </row>
    <row r="5" spans="1:27" ht="27.6">
      <c r="A5" s="3" t="s">
        <v>139</v>
      </c>
      <c r="B5" s="3" t="s">
        <v>20</v>
      </c>
      <c r="C5" s="3" t="s">
        <v>21</v>
      </c>
      <c r="D5" s="3">
        <v>4</v>
      </c>
      <c r="E5" s="12">
        <v>46174</v>
      </c>
      <c r="F5" s="12">
        <f t="shared" ref="F5:F34" si="0">E5+7-WEEKDAY(E5,2)</f>
        <v>46180</v>
      </c>
      <c r="G5" s="3" t="s">
        <v>91</v>
      </c>
      <c r="H5" s="3" t="s">
        <v>22</v>
      </c>
      <c r="I5" s="3" t="s">
        <v>140</v>
      </c>
      <c r="J5" s="3" t="s">
        <v>64</v>
      </c>
      <c r="K5" s="3" t="s">
        <v>141</v>
      </c>
      <c r="L5" s="3" t="s">
        <v>142</v>
      </c>
      <c r="M5" s="3" t="s">
        <v>143</v>
      </c>
      <c r="N5" s="3">
        <f>IFERROR(VLOOKUP(M5,Lookup_Lists!$A$4:$B$7,2,FALSE),"")</f>
        <v>2</v>
      </c>
      <c r="O5" s="3" t="s">
        <v>144</v>
      </c>
      <c r="P5" s="3" t="s">
        <v>145</v>
      </c>
      <c r="Q5" s="3" t="s">
        <v>146</v>
      </c>
      <c r="R5" s="3" t="s">
        <v>142</v>
      </c>
      <c r="S5" s="3" t="s">
        <v>147</v>
      </c>
      <c r="T5" s="3" t="s">
        <v>148</v>
      </c>
      <c r="U5" s="3" t="s">
        <v>149</v>
      </c>
      <c r="V5" s="3" t="s">
        <v>150</v>
      </c>
      <c r="W5" s="3" t="s">
        <v>151</v>
      </c>
      <c r="X5" s="3">
        <v>5</v>
      </c>
      <c r="Y5" s="3" t="s">
        <v>152</v>
      </c>
      <c r="Z5" s="3" t="s">
        <v>146</v>
      </c>
      <c r="AA5" s="3" t="s">
        <v>153</v>
      </c>
    </row>
    <row r="6" spans="1:27" ht="27.6">
      <c r="A6" s="3" t="s">
        <v>154</v>
      </c>
      <c r="B6" s="3" t="s">
        <v>20</v>
      </c>
      <c r="C6" s="3" t="s">
        <v>21</v>
      </c>
      <c r="D6" s="3">
        <v>4</v>
      </c>
      <c r="E6" s="12">
        <v>46176</v>
      </c>
      <c r="F6" s="12">
        <f t="shared" si="0"/>
        <v>46180</v>
      </c>
      <c r="G6" s="3" t="s">
        <v>91</v>
      </c>
      <c r="H6" s="3" t="s">
        <v>22</v>
      </c>
      <c r="I6" s="3" t="s">
        <v>140</v>
      </c>
      <c r="J6" s="3" t="s">
        <v>64</v>
      </c>
      <c r="K6" s="3" t="s">
        <v>141</v>
      </c>
      <c r="L6" s="3" t="s">
        <v>142</v>
      </c>
      <c r="M6" s="3" t="s">
        <v>143</v>
      </c>
      <c r="N6" s="3">
        <f>IFERROR(VLOOKUP(M6,Lookup_Lists!$A$4:$B$7,2,FALSE),"")</f>
        <v>2</v>
      </c>
      <c r="O6" s="3" t="s">
        <v>155</v>
      </c>
      <c r="P6" s="3" t="s">
        <v>156</v>
      </c>
      <c r="Q6" s="3" t="s">
        <v>142</v>
      </c>
      <c r="R6" s="3" t="s">
        <v>142</v>
      </c>
      <c r="S6" s="3" t="s">
        <v>157</v>
      </c>
      <c r="T6" s="3" t="s">
        <v>158</v>
      </c>
      <c r="U6" s="3" t="s">
        <v>159</v>
      </c>
      <c r="V6" s="3" t="s">
        <v>160</v>
      </c>
      <c r="W6" s="3" t="s">
        <v>161</v>
      </c>
      <c r="X6" s="3">
        <v>5</v>
      </c>
      <c r="Y6" s="3" t="s">
        <v>152</v>
      </c>
      <c r="Z6" s="3" t="s">
        <v>146</v>
      </c>
      <c r="AA6" s="3" t="s">
        <v>153</v>
      </c>
    </row>
    <row r="7" spans="1:27" ht="27.6">
      <c r="A7" s="3" t="s">
        <v>162</v>
      </c>
      <c r="B7" s="3" t="s">
        <v>20</v>
      </c>
      <c r="C7" s="3" t="s">
        <v>21</v>
      </c>
      <c r="D7" s="3">
        <v>4</v>
      </c>
      <c r="E7" s="12">
        <v>46178</v>
      </c>
      <c r="F7" s="12">
        <f t="shared" si="0"/>
        <v>46180</v>
      </c>
      <c r="G7" s="3" t="s">
        <v>91</v>
      </c>
      <c r="H7" s="3" t="s">
        <v>22</v>
      </c>
      <c r="I7" s="3" t="s">
        <v>140</v>
      </c>
      <c r="J7" s="3" t="s">
        <v>64</v>
      </c>
      <c r="K7" s="3" t="s">
        <v>141</v>
      </c>
      <c r="L7" s="3" t="s">
        <v>142</v>
      </c>
      <c r="M7" s="3" t="s">
        <v>163</v>
      </c>
      <c r="N7" s="3">
        <f>IFERROR(VLOOKUP(M7,Lookup_Lists!$A$4:$B$7,2,FALSE),"")</f>
        <v>3</v>
      </c>
      <c r="O7" s="3" t="s">
        <v>164</v>
      </c>
      <c r="P7" s="3" t="s">
        <v>165</v>
      </c>
      <c r="Q7" s="3" t="s">
        <v>146</v>
      </c>
      <c r="R7" s="3" t="s">
        <v>142</v>
      </c>
      <c r="S7" s="3" t="s">
        <v>166</v>
      </c>
      <c r="T7" s="3" t="s">
        <v>167</v>
      </c>
      <c r="U7" s="3" t="s">
        <v>168</v>
      </c>
      <c r="V7" s="3" t="s">
        <v>169</v>
      </c>
      <c r="W7" s="3" t="s">
        <v>170</v>
      </c>
      <c r="X7" s="3">
        <v>5</v>
      </c>
      <c r="Y7" s="3" t="s">
        <v>152</v>
      </c>
      <c r="Z7" s="3" t="s">
        <v>146</v>
      </c>
      <c r="AA7" s="3" t="s">
        <v>153</v>
      </c>
    </row>
    <row r="8" spans="1:27" ht="27.6">
      <c r="A8" s="3" t="s">
        <v>171</v>
      </c>
      <c r="B8" s="3" t="s">
        <v>20</v>
      </c>
      <c r="C8" s="3" t="s">
        <v>21</v>
      </c>
      <c r="D8" s="3">
        <v>4</v>
      </c>
      <c r="E8" s="12">
        <v>46181</v>
      </c>
      <c r="F8" s="12">
        <f t="shared" si="0"/>
        <v>46187</v>
      </c>
      <c r="G8" s="3" t="s">
        <v>91</v>
      </c>
      <c r="H8" s="3" t="s">
        <v>22</v>
      </c>
      <c r="I8" s="3" t="s">
        <v>140</v>
      </c>
      <c r="J8" s="3" t="s">
        <v>64</v>
      </c>
      <c r="K8" s="3" t="s">
        <v>141</v>
      </c>
      <c r="L8" s="3" t="s">
        <v>142</v>
      </c>
      <c r="M8" s="3" t="s">
        <v>143</v>
      </c>
      <c r="N8" s="3">
        <f>IFERROR(VLOOKUP(M8,Lookup_Lists!$A$4:$B$7,2,FALSE),"")</f>
        <v>2</v>
      </c>
      <c r="O8" s="3" t="s">
        <v>172</v>
      </c>
      <c r="P8" s="3" t="s">
        <v>173</v>
      </c>
      <c r="Q8" s="3" t="s">
        <v>146</v>
      </c>
      <c r="R8" s="3" t="s">
        <v>142</v>
      </c>
      <c r="S8" s="3" t="s">
        <v>174</v>
      </c>
      <c r="T8" s="3" t="s">
        <v>175</v>
      </c>
      <c r="U8" s="3" t="s">
        <v>176</v>
      </c>
      <c r="V8" s="3" t="s">
        <v>177</v>
      </c>
      <c r="W8" s="3" t="s">
        <v>178</v>
      </c>
      <c r="X8" s="3">
        <v>5</v>
      </c>
      <c r="Y8" s="3" t="s">
        <v>152</v>
      </c>
      <c r="Z8" s="3" t="s">
        <v>146</v>
      </c>
      <c r="AA8" s="3" t="s">
        <v>153</v>
      </c>
    </row>
    <row r="9" spans="1:27" ht="27.6">
      <c r="A9" s="3" t="s">
        <v>179</v>
      </c>
      <c r="B9" s="3" t="s">
        <v>20</v>
      </c>
      <c r="C9" s="3" t="s">
        <v>21</v>
      </c>
      <c r="D9" s="3">
        <v>4</v>
      </c>
      <c r="E9" s="12">
        <v>46183</v>
      </c>
      <c r="F9" s="12">
        <f t="shared" si="0"/>
        <v>46187</v>
      </c>
      <c r="G9" s="3" t="s">
        <v>91</v>
      </c>
      <c r="H9" s="3" t="s">
        <v>22</v>
      </c>
      <c r="I9" s="3" t="s">
        <v>140</v>
      </c>
      <c r="J9" s="3" t="s">
        <v>64</v>
      </c>
      <c r="K9" s="3" t="s">
        <v>141</v>
      </c>
      <c r="L9" s="3" t="s">
        <v>142</v>
      </c>
      <c r="M9" s="3" t="s">
        <v>163</v>
      </c>
      <c r="N9" s="3">
        <f>IFERROR(VLOOKUP(M9,Lookup_Lists!$A$4:$B$7,2,FALSE),"")</f>
        <v>3</v>
      </c>
      <c r="O9" s="3" t="s">
        <v>180</v>
      </c>
      <c r="P9" s="3" t="s">
        <v>181</v>
      </c>
      <c r="Q9" s="3" t="s">
        <v>146</v>
      </c>
      <c r="R9" s="3" t="s">
        <v>142</v>
      </c>
      <c r="S9" s="3" t="s">
        <v>182</v>
      </c>
      <c r="T9" s="3" t="s">
        <v>183</v>
      </c>
      <c r="U9" s="3" t="s">
        <v>184</v>
      </c>
      <c r="V9" s="3" t="s">
        <v>185</v>
      </c>
      <c r="W9" s="3" t="s">
        <v>186</v>
      </c>
      <c r="X9" s="3">
        <v>5</v>
      </c>
      <c r="Y9" s="3" t="s">
        <v>152</v>
      </c>
      <c r="Z9" s="3" t="s">
        <v>146</v>
      </c>
      <c r="AA9" s="3" t="s">
        <v>153</v>
      </c>
    </row>
    <row r="10" spans="1:27" ht="27.6">
      <c r="A10" s="3" t="s">
        <v>187</v>
      </c>
      <c r="B10" s="3" t="s">
        <v>20</v>
      </c>
      <c r="C10" s="3" t="s">
        <v>21</v>
      </c>
      <c r="D10" s="3">
        <v>4</v>
      </c>
      <c r="E10" s="12">
        <v>46185</v>
      </c>
      <c r="F10" s="12">
        <f t="shared" si="0"/>
        <v>46187</v>
      </c>
      <c r="G10" s="3" t="s">
        <v>91</v>
      </c>
      <c r="H10" s="3" t="s">
        <v>22</v>
      </c>
      <c r="I10" s="3" t="s">
        <v>140</v>
      </c>
      <c r="J10" s="3" t="s">
        <v>64</v>
      </c>
      <c r="K10" s="3" t="s">
        <v>141</v>
      </c>
      <c r="L10" s="3" t="s">
        <v>142</v>
      </c>
      <c r="M10" s="3" t="s">
        <v>163</v>
      </c>
      <c r="N10" s="3">
        <f>IFERROR(VLOOKUP(M10,Lookup_Lists!$A$4:$B$7,2,FALSE),"")</f>
        <v>3</v>
      </c>
      <c r="O10" s="3" t="s">
        <v>188</v>
      </c>
      <c r="P10" s="3" t="s">
        <v>189</v>
      </c>
      <c r="Q10" s="3" t="s">
        <v>142</v>
      </c>
      <c r="R10" s="3" t="s">
        <v>142</v>
      </c>
      <c r="S10" s="3" t="s">
        <v>190</v>
      </c>
      <c r="T10" s="3" t="s">
        <v>191</v>
      </c>
      <c r="U10" s="3" t="s">
        <v>192</v>
      </c>
      <c r="V10" s="3" t="s">
        <v>193</v>
      </c>
      <c r="W10" s="3" t="s">
        <v>194</v>
      </c>
      <c r="X10" s="3">
        <v>5</v>
      </c>
      <c r="Y10" s="3" t="s">
        <v>152</v>
      </c>
      <c r="Z10" s="3" t="s">
        <v>146</v>
      </c>
      <c r="AA10" s="3" t="s">
        <v>153</v>
      </c>
    </row>
    <row r="11" spans="1:27" ht="27.6">
      <c r="A11" s="3" t="s">
        <v>195</v>
      </c>
      <c r="B11" s="3" t="s">
        <v>20</v>
      </c>
      <c r="C11" s="3" t="s">
        <v>21</v>
      </c>
      <c r="D11" s="3">
        <v>4</v>
      </c>
      <c r="E11" s="12">
        <v>46188</v>
      </c>
      <c r="F11" s="12">
        <f t="shared" si="0"/>
        <v>46194</v>
      </c>
      <c r="G11" s="3" t="s">
        <v>91</v>
      </c>
      <c r="H11" s="3" t="s">
        <v>22</v>
      </c>
      <c r="I11" s="3" t="s">
        <v>140</v>
      </c>
      <c r="J11" s="3" t="s">
        <v>64</v>
      </c>
      <c r="K11" s="3" t="s">
        <v>141</v>
      </c>
      <c r="L11" s="3" t="s">
        <v>142</v>
      </c>
      <c r="M11" s="3" t="s">
        <v>163</v>
      </c>
      <c r="N11" s="3">
        <f>IFERROR(VLOOKUP(M11,Lookup_Lists!$A$4:$B$7,2,FALSE),"")</f>
        <v>3</v>
      </c>
      <c r="O11" s="3" t="s">
        <v>196</v>
      </c>
      <c r="P11" s="3" t="s">
        <v>197</v>
      </c>
      <c r="Q11" s="3" t="s">
        <v>146</v>
      </c>
      <c r="R11" s="3" t="s">
        <v>142</v>
      </c>
      <c r="S11" s="3" t="s">
        <v>198</v>
      </c>
      <c r="T11" s="3" t="s">
        <v>199</v>
      </c>
      <c r="U11" s="3" t="s">
        <v>200</v>
      </c>
      <c r="V11" s="3" t="s">
        <v>201</v>
      </c>
      <c r="W11" s="3" t="s">
        <v>202</v>
      </c>
      <c r="X11" s="3">
        <v>5</v>
      </c>
      <c r="Y11" s="3" t="s">
        <v>152</v>
      </c>
      <c r="Z11" s="3" t="s">
        <v>146</v>
      </c>
      <c r="AA11" s="3" t="s">
        <v>153</v>
      </c>
    </row>
    <row r="12" spans="1:27" ht="27.6">
      <c r="A12" s="3" t="s">
        <v>203</v>
      </c>
      <c r="B12" s="3" t="s">
        <v>20</v>
      </c>
      <c r="C12" s="3" t="s">
        <v>21</v>
      </c>
      <c r="D12" s="3">
        <v>4</v>
      </c>
      <c r="E12" s="12">
        <v>46190</v>
      </c>
      <c r="F12" s="12">
        <f t="shared" si="0"/>
        <v>46194</v>
      </c>
      <c r="G12" s="3" t="s">
        <v>91</v>
      </c>
      <c r="H12" s="3" t="s">
        <v>22</v>
      </c>
      <c r="I12" s="3" t="s">
        <v>140</v>
      </c>
      <c r="J12" s="3" t="s">
        <v>64</v>
      </c>
      <c r="K12" s="3" t="s">
        <v>141</v>
      </c>
      <c r="L12" s="3" t="s">
        <v>142</v>
      </c>
      <c r="M12" s="3" t="s">
        <v>204</v>
      </c>
      <c r="N12" s="3">
        <f>IFERROR(VLOOKUP(M12,Lookup_Lists!$A$4:$B$7,2,FALSE),"")</f>
        <v>4</v>
      </c>
      <c r="O12" s="3" t="s">
        <v>205</v>
      </c>
      <c r="P12" s="3" t="s">
        <v>206</v>
      </c>
      <c r="Q12" s="3" t="s">
        <v>146</v>
      </c>
      <c r="R12" s="3" t="s">
        <v>142</v>
      </c>
      <c r="S12" s="3" t="s">
        <v>207</v>
      </c>
      <c r="T12" s="3" t="s">
        <v>205</v>
      </c>
      <c r="U12" s="3" t="s">
        <v>208</v>
      </c>
      <c r="V12" s="3" t="s">
        <v>209</v>
      </c>
      <c r="W12" s="3" t="s">
        <v>210</v>
      </c>
      <c r="X12" s="3">
        <v>5</v>
      </c>
      <c r="Y12" s="3" t="s">
        <v>211</v>
      </c>
      <c r="Z12" s="3" t="s">
        <v>146</v>
      </c>
      <c r="AA12" s="3" t="s">
        <v>212</v>
      </c>
    </row>
    <row r="13" spans="1:27" ht="27.6">
      <c r="A13" s="3" t="s">
        <v>213</v>
      </c>
      <c r="B13" s="3" t="s">
        <v>20</v>
      </c>
      <c r="C13" s="3" t="s">
        <v>21</v>
      </c>
      <c r="D13" s="3">
        <v>4</v>
      </c>
      <c r="E13" s="12">
        <v>46192</v>
      </c>
      <c r="F13" s="12">
        <f t="shared" si="0"/>
        <v>46194</v>
      </c>
      <c r="G13" s="3" t="s">
        <v>91</v>
      </c>
      <c r="H13" s="3" t="s">
        <v>22</v>
      </c>
      <c r="I13" s="3" t="s">
        <v>140</v>
      </c>
      <c r="J13" s="3" t="s">
        <v>64</v>
      </c>
      <c r="K13" s="3" t="s">
        <v>141</v>
      </c>
      <c r="L13" s="3" t="s">
        <v>142</v>
      </c>
      <c r="M13" s="3" t="s">
        <v>163</v>
      </c>
      <c r="N13" s="3">
        <f>IFERROR(VLOOKUP(M13,Lookup_Lists!$A$4:$B$7,2,FALSE),"")</f>
        <v>3</v>
      </c>
      <c r="O13" s="3" t="s">
        <v>214</v>
      </c>
      <c r="P13" s="3" t="s">
        <v>215</v>
      </c>
      <c r="Q13" s="3" t="s">
        <v>146</v>
      </c>
      <c r="R13" s="3" t="s">
        <v>142</v>
      </c>
      <c r="S13" s="3" t="s">
        <v>216</v>
      </c>
      <c r="T13" s="3" t="s">
        <v>217</v>
      </c>
      <c r="U13" s="3" t="s">
        <v>218</v>
      </c>
      <c r="V13" s="3" t="s">
        <v>219</v>
      </c>
      <c r="W13" s="3" t="s">
        <v>220</v>
      </c>
      <c r="X13" s="3">
        <v>5</v>
      </c>
      <c r="Y13" s="3" t="s">
        <v>211</v>
      </c>
      <c r="Z13" s="3" t="s">
        <v>146</v>
      </c>
      <c r="AA13" s="3" t="s">
        <v>212</v>
      </c>
    </row>
    <row r="14" spans="1:27" ht="27.6">
      <c r="A14" s="3" t="s">
        <v>221</v>
      </c>
      <c r="B14" s="3" t="s">
        <v>20</v>
      </c>
      <c r="C14" s="3" t="s">
        <v>21</v>
      </c>
      <c r="D14" s="3">
        <v>4</v>
      </c>
      <c r="E14" s="12">
        <v>46195</v>
      </c>
      <c r="F14" s="12">
        <f t="shared" si="0"/>
        <v>46201</v>
      </c>
      <c r="G14" s="3" t="s">
        <v>91</v>
      </c>
      <c r="H14" s="3" t="s">
        <v>22</v>
      </c>
      <c r="I14" s="3" t="s">
        <v>140</v>
      </c>
      <c r="J14" s="3" t="s">
        <v>64</v>
      </c>
      <c r="K14" s="3" t="s">
        <v>141</v>
      </c>
      <c r="L14" s="3" t="s">
        <v>142</v>
      </c>
      <c r="M14" s="3" t="s">
        <v>204</v>
      </c>
      <c r="N14" s="3">
        <f>IFERROR(VLOOKUP(M14,Lookup_Lists!$A$4:$B$7,2,FALSE),"")</f>
        <v>4</v>
      </c>
      <c r="O14" s="3" t="s">
        <v>205</v>
      </c>
      <c r="P14" s="3" t="s">
        <v>222</v>
      </c>
      <c r="Q14" s="3" t="s">
        <v>142</v>
      </c>
      <c r="R14" s="3" t="s">
        <v>142</v>
      </c>
      <c r="S14" s="3" t="s">
        <v>223</v>
      </c>
      <c r="T14" s="3" t="s">
        <v>224</v>
      </c>
      <c r="U14" s="3" t="s">
        <v>225</v>
      </c>
      <c r="V14" s="3" t="s">
        <v>226</v>
      </c>
      <c r="W14" s="3" t="s">
        <v>227</v>
      </c>
      <c r="X14" s="3">
        <v>5</v>
      </c>
      <c r="Y14" s="3" t="s">
        <v>211</v>
      </c>
      <c r="Z14" s="3" t="s">
        <v>146</v>
      </c>
      <c r="AA14" s="3" t="s">
        <v>212</v>
      </c>
    </row>
    <row r="15" spans="1:27" ht="27.6">
      <c r="A15" s="3" t="s">
        <v>228</v>
      </c>
      <c r="B15" s="3" t="s">
        <v>24</v>
      </c>
      <c r="C15" s="3" t="s">
        <v>25</v>
      </c>
      <c r="D15" s="3">
        <v>7</v>
      </c>
      <c r="E15" s="12">
        <v>46174</v>
      </c>
      <c r="F15" s="12">
        <f t="shared" si="0"/>
        <v>46180</v>
      </c>
      <c r="G15" s="3" t="s">
        <v>98</v>
      </c>
      <c r="H15" s="3" t="s">
        <v>26</v>
      </c>
      <c r="I15" s="3" t="s">
        <v>229</v>
      </c>
      <c r="J15" s="3" t="s">
        <v>64</v>
      </c>
      <c r="K15" s="3" t="s">
        <v>230</v>
      </c>
      <c r="L15" s="3" t="s">
        <v>142</v>
      </c>
      <c r="M15" s="3" t="s">
        <v>163</v>
      </c>
      <c r="N15" s="3">
        <f>IFERROR(VLOOKUP(M15,Lookup_Lists!$A$4:$B$7,2,FALSE),"")</f>
        <v>3</v>
      </c>
      <c r="O15" s="3" t="s">
        <v>231</v>
      </c>
      <c r="P15" s="3" t="s">
        <v>232</v>
      </c>
      <c r="Q15" s="3" t="s">
        <v>146</v>
      </c>
      <c r="R15" s="3" t="s">
        <v>142</v>
      </c>
      <c r="S15" s="3" t="s">
        <v>233</v>
      </c>
      <c r="T15" s="3" t="s">
        <v>234</v>
      </c>
      <c r="U15" s="3" t="s">
        <v>235</v>
      </c>
      <c r="V15" s="3" t="s">
        <v>236</v>
      </c>
      <c r="W15" s="3" t="s">
        <v>237</v>
      </c>
      <c r="X15" s="3">
        <v>8</v>
      </c>
      <c r="Y15" s="3" t="s">
        <v>238</v>
      </c>
      <c r="Z15" s="3" t="s">
        <v>146</v>
      </c>
      <c r="AA15" s="3" t="s">
        <v>153</v>
      </c>
    </row>
    <row r="16" spans="1:27" ht="27.6">
      <c r="A16" s="3" t="s">
        <v>239</v>
      </c>
      <c r="B16" s="3" t="s">
        <v>24</v>
      </c>
      <c r="C16" s="3" t="s">
        <v>25</v>
      </c>
      <c r="D16" s="3">
        <v>7</v>
      </c>
      <c r="E16" s="12">
        <v>46175</v>
      </c>
      <c r="F16" s="12">
        <f t="shared" si="0"/>
        <v>46180</v>
      </c>
      <c r="G16" s="3" t="s">
        <v>98</v>
      </c>
      <c r="H16" s="3" t="s">
        <v>26</v>
      </c>
      <c r="I16" s="3" t="s">
        <v>229</v>
      </c>
      <c r="J16" s="3" t="s">
        <v>64</v>
      </c>
      <c r="K16" s="3" t="s">
        <v>230</v>
      </c>
      <c r="L16" s="3" t="s">
        <v>142</v>
      </c>
      <c r="M16" s="3" t="s">
        <v>163</v>
      </c>
      <c r="N16" s="3">
        <f>IFERROR(VLOOKUP(M16,Lookup_Lists!$A$4:$B$7,2,FALSE),"")</f>
        <v>3</v>
      </c>
      <c r="O16" s="3" t="s">
        <v>240</v>
      </c>
      <c r="P16" s="3" t="s">
        <v>241</v>
      </c>
      <c r="Q16" s="3" t="s">
        <v>142</v>
      </c>
      <c r="R16" s="3" t="s">
        <v>142</v>
      </c>
      <c r="S16" s="3" t="s">
        <v>242</v>
      </c>
      <c r="T16" s="3" t="s">
        <v>243</v>
      </c>
      <c r="U16" s="3" t="s">
        <v>244</v>
      </c>
      <c r="V16" s="3" t="s">
        <v>245</v>
      </c>
      <c r="W16" s="3" t="s">
        <v>246</v>
      </c>
      <c r="X16" s="3">
        <v>8</v>
      </c>
      <c r="Y16" s="3" t="s">
        <v>238</v>
      </c>
      <c r="Z16" s="3" t="s">
        <v>146</v>
      </c>
      <c r="AA16" s="3" t="s">
        <v>153</v>
      </c>
    </row>
    <row r="17" spans="1:27" ht="27.6">
      <c r="A17" s="3" t="s">
        <v>247</v>
      </c>
      <c r="B17" s="3" t="s">
        <v>24</v>
      </c>
      <c r="C17" s="3" t="s">
        <v>25</v>
      </c>
      <c r="D17" s="3">
        <v>7</v>
      </c>
      <c r="E17" s="12">
        <v>46177</v>
      </c>
      <c r="F17" s="12">
        <f t="shared" si="0"/>
        <v>46180</v>
      </c>
      <c r="G17" s="3" t="s">
        <v>98</v>
      </c>
      <c r="H17" s="3" t="s">
        <v>26</v>
      </c>
      <c r="I17" s="3" t="s">
        <v>229</v>
      </c>
      <c r="J17" s="3" t="s">
        <v>64</v>
      </c>
      <c r="K17" s="3" t="s">
        <v>230</v>
      </c>
      <c r="L17" s="3" t="s">
        <v>142</v>
      </c>
      <c r="M17" s="3" t="s">
        <v>163</v>
      </c>
      <c r="N17" s="3">
        <f>IFERROR(VLOOKUP(M17,Lookup_Lists!$A$4:$B$7,2,FALSE),"")</f>
        <v>3</v>
      </c>
      <c r="O17" s="3" t="s">
        <v>248</v>
      </c>
      <c r="P17" s="3" t="s">
        <v>249</v>
      </c>
      <c r="Q17" s="3" t="s">
        <v>146</v>
      </c>
      <c r="R17" s="3" t="s">
        <v>142</v>
      </c>
      <c r="S17" s="3" t="s">
        <v>250</v>
      </c>
      <c r="T17" s="3" t="s">
        <v>251</v>
      </c>
      <c r="U17" s="3" t="s">
        <v>252</v>
      </c>
      <c r="V17" s="3" t="s">
        <v>253</v>
      </c>
      <c r="W17" s="3" t="s">
        <v>254</v>
      </c>
      <c r="X17" s="3">
        <v>8</v>
      </c>
      <c r="Y17" s="3" t="s">
        <v>238</v>
      </c>
      <c r="Z17" s="3" t="s">
        <v>146</v>
      </c>
      <c r="AA17" s="3" t="s">
        <v>153</v>
      </c>
    </row>
    <row r="18" spans="1:27" ht="27.6">
      <c r="A18" s="3" t="s">
        <v>255</v>
      </c>
      <c r="B18" s="3" t="s">
        <v>24</v>
      </c>
      <c r="C18" s="3" t="s">
        <v>25</v>
      </c>
      <c r="D18" s="3">
        <v>7</v>
      </c>
      <c r="E18" s="12">
        <v>46180</v>
      </c>
      <c r="F18" s="12">
        <f t="shared" si="0"/>
        <v>46180</v>
      </c>
      <c r="G18" s="3" t="s">
        <v>98</v>
      </c>
      <c r="H18" s="3" t="s">
        <v>26</v>
      </c>
      <c r="I18" s="3" t="s">
        <v>229</v>
      </c>
      <c r="J18" s="3" t="s">
        <v>64</v>
      </c>
      <c r="K18" s="3" t="s">
        <v>230</v>
      </c>
      <c r="L18" s="3" t="s">
        <v>142</v>
      </c>
      <c r="M18" s="3" t="s">
        <v>204</v>
      </c>
      <c r="N18" s="3">
        <f>IFERROR(VLOOKUP(M18,Lookup_Lists!$A$4:$B$7,2,FALSE),"")</f>
        <v>4</v>
      </c>
      <c r="O18" s="3" t="s">
        <v>256</v>
      </c>
      <c r="P18" s="3" t="s">
        <v>257</v>
      </c>
      <c r="Q18" s="3" t="s">
        <v>146</v>
      </c>
      <c r="R18" s="3" t="s">
        <v>142</v>
      </c>
      <c r="S18" s="3" t="s">
        <v>258</v>
      </c>
      <c r="T18" s="3" t="s">
        <v>235</v>
      </c>
      <c r="U18" s="3" t="s">
        <v>259</v>
      </c>
      <c r="V18" s="3" t="s">
        <v>260</v>
      </c>
      <c r="W18" s="3" t="s">
        <v>261</v>
      </c>
      <c r="X18" s="3">
        <v>8</v>
      </c>
      <c r="Y18" s="3" t="s">
        <v>238</v>
      </c>
      <c r="Z18" s="3" t="s">
        <v>146</v>
      </c>
      <c r="AA18" s="3" t="s">
        <v>153</v>
      </c>
    </row>
    <row r="19" spans="1:27" ht="27.6">
      <c r="A19" s="3" t="s">
        <v>262</v>
      </c>
      <c r="B19" s="3" t="s">
        <v>24</v>
      </c>
      <c r="C19" s="3" t="s">
        <v>25</v>
      </c>
      <c r="D19" s="3">
        <v>7</v>
      </c>
      <c r="E19" s="12">
        <v>46182</v>
      </c>
      <c r="F19" s="12">
        <f t="shared" si="0"/>
        <v>46187</v>
      </c>
      <c r="G19" s="3" t="s">
        <v>98</v>
      </c>
      <c r="H19" s="3" t="s">
        <v>26</v>
      </c>
      <c r="I19" s="3" t="s">
        <v>229</v>
      </c>
      <c r="J19" s="3" t="s">
        <v>76</v>
      </c>
      <c r="K19" s="3" t="s">
        <v>230</v>
      </c>
      <c r="L19" s="3" t="s">
        <v>142</v>
      </c>
      <c r="M19" s="3" t="s">
        <v>204</v>
      </c>
      <c r="N19" s="3">
        <f>IFERROR(VLOOKUP(M19,Lookup_Lists!$A$4:$B$7,2,FALSE),"")</f>
        <v>4</v>
      </c>
      <c r="O19" s="3" t="s">
        <v>263</v>
      </c>
      <c r="P19" s="3" t="s">
        <v>264</v>
      </c>
      <c r="Q19" s="3" t="s">
        <v>142</v>
      </c>
      <c r="R19" s="3" t="s">
        <v>142</v>
      </c>
      <c r="S19" s="3" t="s">
        <v>265</v>
      </c>
      <c r="T19" s="3" t="s">
        <v>266</v>
      </c>
      <c r="U19" s="3" t="s">
        <v>267</v>
      </c>
      <c r="V19" s="3" t="s">
        <v>268</v>
      </c>
      <c r="W19" s="3" t="s">
        <v>269</v>
      </c>
      <c r="X19" s="3">
        <v>8</v>
      </c>
      <c r="Y19" s="3" t="s">
        <v>270</v>
      </c>
      <c r="Z19" s="3" t="s">
        <v>146</v>
      </c>
      <c r="AA19" s="3" t="s">
        <v>212</v>
      </c>
    </row>
    <row r="20" spans="1:27" ht="27.6">
      <c r="A20" s="3" t="s">
        <v>271</v>
      </c>
      <c r="B20" s="3" t="s">
        <v>24</v>
      </c>
      <c r="C20" s="3" t="s">
        <v>25</v>
      </c>
      <c r="D20" s="3">
        <v>7</v>
      </c>
      <c r="E20" s="12">
        <v>46184</v>
      </c>
      <c r="F20" s="12">
        <f t="shared" si="0"/>
        <v>46187</v>
      </c>
      <c r="G20" s="3" t="s">
        <v>98</v>
      </c>
      <c r="H20" s="3" t="s">
        <v>26</v>
      </c>
      <c r="I20" s="3" t="s">
        <v>229</v>
      </c>
      <c r="J20" s="3" t="s">
        <v>76</v>
      </c>
      <c r="K20" s="3" t="s">
        <v>230</v>
      </c>
      <c r="L20" s="3" t="s">
        <v>142</v>
      </c>
      <c r="M20" s="3" t="s">
        <v>204</v>
      </c>
      <c r="N20" s="3">
        <f>IFERROR(VLOOKUP(M20,Lookup_Lists!$A$4:$B$7,2,FALSE),"")</f>
        <v>4</v>
      </c>
      <c r="O20" s="3" t="s">
        <v>272</v>
      </c>
      <c r="P20" s="3" t="s">
        <v>273</v>
      </c>
      <c r="Q20" s="3" t="s">
        <v>146</v>
      </c>
      <c r="R20" s="3" t="s">
        <v>142</v>
      </c>
      <c r="S20" s="3" t="s">
        <v>274</v>
      </c>
      <c r="T20" s="3" t="s">
        <v>275</v>
      </c>
      <c r="U20" s="3" t="s">
        <v>276</v>
      </c>
      <c r="V20" s="3" t="s">
        <v>277</v>
      </c>
      <c r="W20" s="3" t="s">
        <v>278</v>
      </c>
      <c r="X20" s="3">
        <v>8</v>
      </c>
      <c r="Y20" s="3" t="s">
        <v>270</v>
      </c>
      <c r="Z20" s="3" t="s">
        <v>146</v>
      </c>
      <c r="AA20" s="3" t="s">
        <v>212</v>
      </c>
    </row>
    <row r="21" spans="1:27" ht="27.6">
      <c r="A21" s="3" t="s">
        <v>279</v>
      </c>
      <c r="B21" s="3" t="s">
        <v>24</v>
      </c>
      <c r="C21" s="3" t="s">
        <v>25</v>
      </c>
      <c r="D21" s="3">
        <v>7</v>
      </c>
      <c r="E21" s="12">
        <v>46187</v>
      </c>
      <c r="F21" s="12">
        <f t="shared" si="0"/>
        <v>46187</v>
      </c>
      <c r="G21" s="3" t="s">
        <v>98</v>
      </c>
      <c r="H21" s="3" t="s">
        <v>26</v>
      </c>
      <c r="I21" s="3" t="s">
        <v>229</v>
      </c>
      <c r="J21" s="3" t="s">
        <v>76</v>
      </c>
      <c r="K21" s="3" t="s">
        <v>230</v>
      </c>
      <c r="L21" s="3" t="s">
        <v>142</v>
      </c>
      <c r="M21" s="3" t="s">
        <v>204</v>
      </c>
      <c r="N21" s="3">
        <f>IFERROR(VLOOKUP(M21,Lookup_Lists!$A$4:$B$7,2,FALSE),"")</f>
        <v>4</v>
      </c>
      <c r="O21" s="3" t="s">
        <v>280</v>
      </c>
      <c r="P21" s="3" t="s">
        <v>281</v>
      </c>
      <c r="Q21" s="3" t="s">
        <v>146</v>
      </c>
      <c r="R21" s="3" t="s">
        <v>142</v>
      </c>
      <c r="S21" s="3" t="s">
        <v>282</v>
      </c>
      <c r="T21" s="3" t="s">
        <v>283</v>
      </c>
      <c r="U21" s="3" t="s">
        <v>284</v>
      </c>
      <c r="V21" s="3" t="s">
        <v>285</v>
      </c>
      <c r="W21" s="3" t="s">
        <v>286</v>
      </c>
      <c r="X21" s="3">
        <v>8</v>
      </c>
      <c r="Y21" s="3" t="s">
        <v>270</v>
      </c>
      <c r="Z21" s="3" t="s">
        <v>146</v>
      </c>
      <c r="AA21" s="3" t="s">
        <v>212</v>
      </c>
    </row>
    <row r="22" spans="1:27" ht="27.6">
      <c r="A22" s="3" t="s">
        <v>287</v>
      </c>
      <c r="B22" s="3" t="s">
        <v>24</v>
      </c>
      <c r="C22" s="3" t="s">
        <v>25</v>
      </c>
      <c r="D22" s="3">
        <v>7</v>
      </c>
      <c r="E22" s="12">
        <v>46189</v>
      </c>
      <c r="F22" s="12">
        <f t="shared" si="0"/>
        <v>46194</v>
      </c>
      <c r="G22" s="3" t="s">
        <v>98</v>
      </c>
      <c r="H22" s="3" t="s">
        <v>26</v>
      </c>
      <c r="I22" s="3" t="s">
        <v>229</v>
      </c>
      <c r="J22" s="3" t="s">
        <v>76</v>
      </c>
      <c r="K22" s="3" t="s">
        <v>230</v>
      </c>
      <c r="L22" s="3" t="s">
        <v>142</v>
      </c>
      <c r="M22" s="3" t="s">
        <v>204</v>
      </c>
      <c r="N22" s="3">
        <f>IFERROR(VLOOKUP(M22,Lookup_Lists!$A$4:$B$7,2,FALSE),"")</f>
        <v>4</v>
      </c>
      <c r="O22" s="3" t="s">
        <v>288</v>
      </c>
      <c r="P22" s="3" t="s">
        <v>289</v>
      </c>
      <c r="Q22" s="3" t="s">
        <v>142</v>
      </c>
      <c r="R22" s="3" t="s">
        <v>142</v>
      </c>
      <c r="S22" s="3" t="s">
        <v>290</v>
      </c>
      <c r="T22" s="3" t="s">
        <v>291</v>
      </c>
      <c r="U22" s="3" t="s">
        <v>292</v>
      </c>
      <c r="V22" s="3" t="s">
        <v>293</v>
      </c>
      <c r="W22" s="3" t="s">
        <v>294</v>
      </c>
      <c r="X22" s="3">
        <v>8</v>
      </c>
      <c r="Y22" s="3" t="s">
        <v>295</v>
      </c>
      <c r="Z22" s="3" t="s">
        <v>146</v>
      </c>
      <c r="AA22" s="3" t="s">
        <v>153</v>
      </c>
    </row>
    <row r="23" spans="1:27" ht="27.6">
      <c r="A23" s="3" t="s">
        <v>296</v>
      </c>
      <c r="B23" s="3" t="s">
        <v>24</v>
      </c>
      <c r="C23" s="3" t="s">
        <v>25</v>
      </c>
      <c r="D23" s="3">
        <v>7</v>
      </c>
      <c r="E23" s="12">
        <v>46191</v>
      </c>
      <c r="F23" s="12">
        <f t="shared" si="0"/>
        <v>46194</v>
      </c>
      <c r="G23" s="3" t="s">
        <v>98</v>
      </c>
      <c r="H23" s="3" t="s">
        <v>26</v>
      </c>
      <c r="I23" s="3" t="s">
        <v>229</v>
      </c>
      <c r="J23" s="3" t="s">
        <v>76</v>
      </c>
      <c r="K23" s="3" t="s">
        <v>230</v>
      </c>
      <c r="L23" s="3" t="s">
        <v>142</v>
      </c>
      <c r="M23" s="3" t="s">
        <v>163</v>
      </c>
      <c r="N23" s="3">
        <f>IFERROR(VLOOKUP(M23,Lookup_Lists!$A$4:$B$7,2,FALSE),"")</f>
        <v>3</v>
      </c>
      <c r="O23" s="3" t="s">
        <v>248</v>
      </c>
      <c r="P23" s="3" t="s">
        <v>297</v>
      </c>
      <c r="Q23" s="3" t="s">
        <v>146</v>
      </c>
      <c r="R23" s="3" t="s">
        <v>142</v>
      </c>
      <c r="S23" s="3" t="s">
        <v>298</v>
      </c>
      <c r="T23" s="3" t="s">
        <v>299</v>
      </c>
      <c r="U23" s="3" t="s">
        <v>300</v>
      </c>
      <c r="V23" s="3" t="s">
        <v>301</v>
      </c>
      <c r="W23" s="3" t="s">
        <v>302</v>
      </c>
      <c r="X23" s="3">
        <v>8</v>
      </c>
      <c r="Y23" s="3" t="s">
        <v>295</v>
      </c>
      <c r="Z23" s="3" t="s">
        <v>146</v>
      </c>
      <c r="AA23" s="3" t="s">
        <v>153</v>
      </c>
    </row>
    <row r="24" spans="1:27" ht="27.6">
      <c r="A24" s="3" t="s">
        <v>303</v>
      </c>
      <c r="B24" s="3" t="s">
        <v>24</v>
      </c>
      <c r="C24" s="3" t="s">
        <v>25</v>
      </c>
      <c r="D24" s="3">
        <v>7</v>
      </c>
      <c r="E24" s="12">
        <v>46194</v>
      </c>
      <c r="F24" s="12">
        <f t="shared" si="0"/>
        <v>46194</v>
      </c>
      <c r="G24" s="3" t="s">
        <v>98</v>
      </c>
      <c r="H24" s="3" t="s">
        <v>26</v>
      </c>
      <c r="I24" s="3" t="s">
        <v>229</v>
      </c>
      <c r="J24" s="3" t="s">
        <v>76</v>
      </c>
      <c r="K24" s="3" t="s">
        <v>230</v>
      </c>
      <c r="L24" s="3" t="s">
        <v>142</v>
      </c>
      <c r="M24" s="3" t="s">
        <v>204</v>
      </c>
      <c r="N24" s="3">
        <f>IFERROR(VLOOKUP(M24,Lookup_Lists!$A$4:$B$7,2,FALSE),"")</f>
        <v>4</v>
      </c>
      <c r="O24" s="3" t="s">
        <v>304</v>
      </c>
      <c r="P24" s="3" t="s">
        <v>305</v>
      </c>
      <c r="Q24" s="3" t="s">
        <v>146</v>
      </c>
      <c r="R24" s="3" t="s">
        <v>142</v>
      </c>
      <c r="S24" s="3" t="s">
        <v>306</v>
      </c>
      <c r="T24" s="3" t="s">
        <v>307</v>
      </c>
      <c r="U24" s="3" t="s">
        <v>308</v>
      </c>
      <c r="V24" s="3" t="s">
        <v>309</v>
      </c>
      <c r="W24" s="3" t="s">
        <v>310</v>
      </c>
      <c r="X24" s="3">
        <v>8</v>
      </c>
      <c r="Y24" s="3" t="s">
        <v>295</v>
      </c>
      <c r="Z24" s="3" t="s">
        <v>146</v>
      </c>
      <c r="AA24" s="3" t="s">
        <v>153</v>
      </c>
    </row>
    <row r="25" spans="1:27" ht="27.6">
      <c r="A25" s="3" t="s">
        <v>311</v>
      </c>
      <c r="B25" s="3" t="s">
        <v>28</v>
      </c>
      <c r="C25" s="3" t="s">
        <v>29</v>
      </c>
      <c r="D25" s="3">
        <v>8</v>
      </c>
      <c r="E25" s="12">
        <v>46174</v>
      </c>
      <c r="F25" s="12">
        <f t="shared" si="0"/>
        <v>46180</v>
      </c>
      <c r="G25" s="3" t="s">
        <v>104</v>
      </c>
      <c r="H25" s="3" t="s">
        <v>30</v>
      </c>
      <c r="I25" s="3" t="s">
        <v>312</v>
      </c>
      <c r="J25" s="3" t="s">
        <v>76</v>
      </c>
      <c r="K25" s="3" t="s">
        <v>313</v>
      </c>
      <c r="L25" s="3" t="s">
        <v>142</v>
      </c>
      <c r="M25" s="3" t="s">
        <v>204</v>
      </c>
      <c r="N25" s="3">
        <f>IFERROR(VLOOKUP(M25,Lookup_Lists!$A$4:$B$7,2,FALSE),"")</f>
        <v>4</v>
      </c>
      <c r="O25" s="3" t="s">
        <v>314</v>
      </c>
      <c r="P25" s="3" t="s">
        <v>315</v>
      </c>
      <c r="Q25" s="3" t="s">
        <v>146</v>
      </c>
      <c r="R25" s="3" t="s">
        <v>142</v>
      </c>
      <c r="S25" s="3" t="s">
        <v>316</v>
      </c>
      <c r="T25" s="3" t="s">
        <v>317</v>
      </c>
      <c r="U25" s="3" t="s">
        <v>318</v>
      </c>
      <c r="V25" s="3" t="s">
        <v>319</v>
      </c>
      <c r="W25" s="3" t="s">
        <v>320</v>
      </c>
      <c r="X25" s="3">
        <v>10</v>
      </c>
      <c r="Y25" s="3" t="s">
        <v>321</v>
      </c>
      <c r="Z25" s="3" t="s">
        <v>146</v>
      </c>
      <c r="AA25" s="3" t="s">
        <v>153</v>
      </c>
    </row>
    <row r="26" spans="1:27" ht="27.6">
      <c r="A26" s="3" t="s">
        <v>322</v>
      </c>
      <c r="B26" s="3" t="s">
        <v>28</v>
      </c>
      <c r="C26" s="3" t="s">
        <v>29</v>
      </c>
      <c r="D26" s="3">
        <v>8</v>
      </c>
      <c r="E26" s="12">
        <v>46176</v>
      </c>
      <c r="F26" s="12">
        <f t="shared" si="0"/>
        <v>46180</v>
      </c>
      <c r="G26" s="3" t="s">
        <v>104</v>
      </c>
      <c r="H26" s="3" t="s">
        <v>30</v>
      </c>
      <c r="I26" s="3" t="s">
        <v>312</v>
      </c>
      <c r="J26" s="3" t="s">
        <v>76</v>
      </c>
      <c r="K26" s="3" t="s">
        <v>313</v>
      </c>
      <c r="L26" s="3" t="s">
        <v>142</v>
      </c>
      <c r="M26" s="3" t="s">
        <v>204</v>
      </c>
      <c r="N26" s="3">
        <f>IFERROR(VLOOKUP(M26,Lookup_Lists!$A$4:$B$7,2,FALSE),"")</f>
        <v>4</v>
      </c>
      <c r="O26" s="3" t="s">
        <v>323</v>
      </c>
      <c r="P26" s="3" t="s">
        <v>324</v>
      </c>
      <c r="Q26" s="3" t="s">
        <v>146</v>
      </c>
      <c r="R26" s="3" t="s">
        <v>142</v>
      </c>
      <c r="S26" s="3" t="s">
        <v>325</v>
      </c>
      <c r="T26" s="3" t="s">
        <v>326</v>
      </c>
      <c r="U26" s="3" t="s">
        <v>327</v>
      </c>
      <c r="V26" s="3" t="s">
        <v>328</v>
      </c>
      <c r="W26" s="3" t="s">
        <v>329</v>
      </c>
      <c r="X26" s="3">
        <v>10</v>
      </c>
      <c r="Y26" s="3" t="s">
        <v>321</v>
      </c>
      <c r="Z26" s="3" t="s">
        <v>146</v>
      </c>
      <c r="AA26" s="3" t="s">
        <v>153</v>
      </c>
    </row>
    <row r="27" spans="1:27" ht="27.6">
      <c r="A27" s="3" t="s">
        <v>330</v>
      </c>
      <c r="B27" s="3" t="s">
        <v>28</v>
      </c>
      <c r="C27" s="3" t="s">
        <v>29</v>
      </c>
      <c r="D27" s="3">
        <v>8</v>
      </c>
      <c r="E27" s="12">
        <v>46178</v>
      </c>
      <c r="F27" s="12">
        <f t="shared" si="0"/>
        <v>46180</v>
      </c>
      <c r="G27" s="3" t="s">
        <v>104</v>
      </c>
      <c r="H27" s="3" t="s">
        <v>30</v>
      </c>
      <c r="I27" s="3" t="s">
        <v>312</v>
      </c>
      <c r="J27" s="3" t="s">
        <v>76</v>
      </c>
      <c r="K27" s="3" t="s">
        <v>313</v>
      </c>
      <c r="L27" s="3" t="s">
        <v>142</v>
      </c>
      <c r="M27" s="3" t="s">
        <v>163</v>
      </c>
      <c r="N27" s="3">
        <f>IFERROR(VLOOKUP(M27,Lookup_Lists!$A$4:$B$7,2,FALSE),"")</f>
        <v>3</v>
      </c>
      <c r="O27" s="3" t="s">
        <v>331</v>
      </c>
      <c r="P27" s="3" t="s">
        <v>332</v>
      </c>
      <c r="Q27" s="3" t="s">
        <v>142</v>
      </c>
      <c r="R27" s="3" t="s">
        <v>142</v>
      </c>
      <c r="S27" s="3" t="s">
        <v>333</v>
      </c>
      <c r="T27" s="3" t="s">
        <v>334</v>
      </c>
      <c r="U27" s="3" t="s">
        <v>335</v>
      </c>
      <c r="V27" s="3" t="s">
        <v>336</v>
      </c>
      <c r="W27" s="3" t="s">
        <v>337</v>
      </c>
      <c r="X27" s="3">
        <v>10</v>
      </c>
      <c r="Y27" s="3" t="s">
        <v>321</v>
      </c>
      <c r="Z27" s="3" t="s">
        <v>146</v>
      </c>
      <c r="AA27" s="3" t="s">
        <v>153</v>
      </c>
    </row>
    <row r="28" spans="1:27" ht="27.6">
      <c r="A28" s="3" t="s">
        <v>338</v>
      </c>
      <c r="B28" s="3" t="s">
        <v>28</v>
      </c>
      <c r="C28" s="3" t="s">
        <v>29</v>
      </c>
      <c r="D28" s="3">
        <v>8</v>
      </c>
      <c r="E28" s="12">
        <v>46181</v>
      </c>
      <c r="F28" s="12">
        <f t="shared" si="0"/>
        <v>46187</v>
      </c>
      <c r="G28" s="3" t="s">
        <v>104</v>
      </c>
      <c r="H28" s="3" t="s">
        <v>30</v>
      </c>
      <c r="I28" s="3" t="s">
        <v>312</v>
      </c>
      <c r="J28" s="3" t="s">
        <v>76</v>
      </c>
      <c r="K28" s="3" t="s">
        <v>313</v>
      </c>
      <c r="L28" s="3" t="s">
        <v>142</v>
      </c>
      <c r="M28" s="3" t="s">
        <v>143</v>
      </c>
      <c r="N28" s="3">
        <f>IFERROR(VLOOKUP(M28,Lookup_Lists!$A$4:$B$7,2,FALSE),"")</f>
        <v>2</v>
      </c>
      <c r="O28" s="3" t="s">
        <v>339</v>
      </c>
      <c r="P28" s="3" t="s">
        <v>340</v>
      </c>
      <c r="Q28" s="3" t="s">
        <v>146</v>
      </c>
      <c r="R28" s="3" t="s">
        <v>142</v>
      </c>
      <c r="S28" s="3" t="s">
        <v>341</v>
      </c>
      <c r="T28" s="3" t="s">
        <v>342</v>
      </c>
      <c r="U28" s="3" t="s">
        <v>327</v>
      </c>
      <c r="V28" s="3" t="s">
        <v>343</v>
      </c>
      <c r="W28" s="3" t="s">
        <v>344</v>
      </c>
      <c r="X28" s="3">
        <v>10</v>
      </c>
      <c r="Y28" s="3" t="s">
        <v>345</v>
      </c>
      <c r="Z28" s="3" t="s">
        <v>346</v>
      </c>
      <c r="AA28" s="3" t="s">
        <v>212</v>
      </c>
    </row>
    <row r="29" spans="1:27" ht="27.6">
      <c r="A29" s="3" t="s">
        <v>347</v>
      </c>
      <c r="B29" s="3" t="s">
        <v>28</v>
      </c>
      <c r="C29" s="3" t="s">
        <v>29</v>
      </c>
      <c r="D29" s="3">
        <v>8</v>
      </c>
      <c r="E29" s="12">
        <v>46183</v>
      </c>
      <c r="F29" s="12">
        <f t="shared" si="0"/>
        <v>46187</v>
      </c>
      <c r="G29" s="3" t="s">
        <v>104</v>
      </c>
      <c r="H29" s="3" t="s">
        <v>30</v>
      </c>
      <c r="I29" s="3" t="s">
        <v>312</v>
      </c>
      <c r="J29" s="3" t="s">
        <v>64</v>
      </c>
      <c r="K29" s="3" t="s">
        <v>313</v>
      </c>
      <c r="L29" s="3" t="s">
        <v>142</v>
      </c>
      <c r="M29" s="3" t="s">
        <v>143</v>
      </c>
      <c r="N29" s="3">
        <f>IFERROR(VLOOKUP(M29,Lookup_Lists!$A$4:$B$7,2,FALSE),"")</f>
        <v>2</v>
      </c>
      <c r="O29" s="3" t="s">
        <v>348</v>
      </c>
      <c r="P29" s="3" t="s">
        <v>349</v>
      </c>
      <c r="Q29" s="3" t="s">
        <v>142</v>
      </c>
      <c r="R29" s="3" t="s">
        <v>142</v>
      </c>
      <c r="S29" s="3" t="s">
        <v>350</v>
      </c>
      <c r="T29" s="3" t="s">
        <v>351</v>
      </c>
      <c r="U29" s="3" t="s">
        <v>352</v>
      </c>
      <c r="V29" s="3" t="s">
        <v>353</v>
      </c>
      <c r="W29" s="3" t="s">
        <v>354</v>
      </c>
      <c r="X29" s="3">
        <v>10</v>
      </c>
      <c r="Y29" s="3" t="s">
        <v>345</v>
      </c>
      <c r="Z29" s="3" t="s">
        <v>346</v>
      </c>
      <c r="AA29" s="3" t="s">
        <v>212</v>
      </c>
    </row>
    <row r="30" spans="1:27" ht="27.6">
      <c r="A30" s="3" t="s">
        <v>355</v>
      </c>
      <c r="B30" s="3" t="s">
        <v>28</v>
      </c>
      <c r="C30" s="3" t="s">
        <v>29</v>
      </c>
      <c r="D30" s="3">
        <v>8</v>
      </c>
      <c r="E30" s="12">
        <v>46185</v>
      </c>
      <c r="F30" s="12">
        <f t="shared" si="0"/>
        <v>46187</v>
      </c>
      <c r="G30" s="3" t="s">
        <v>104</v>
      </c>
      <c r="H30" s="3" t="s">
        <v>30</v>
      </c>
      <c r="I30" s="3" t="s">
        <v>312</v>
      </c>
      <c r="J30" s="3" t="s">
        <v>64</v>
      </c>
      <c r="K30" s="3" t="s">
        <v>313</v>
      </c>
      <c r="L30" s="3" t="s">
        <v>142</v>
      </c>
      <c r="M30" s="3" t="s">
        <v>143</v>
      </c>
      <c r="N30" s="3">
        <f>IFERROR(VLOOKUP(M30,Lookup_Lists!$A$4:$B$7,2,FALSE),"")</f>
        <v>2</v>
      </c>
      <c r="O30" s="3" t="s">
        <v>356</v>
      </c>
      <c r="P30" s="3" t="s">
        <v>357</v>
      </c>
      <c r="Q30" s="3" t="s">
        <v>146</v>
      </c>
      <c r="R30" s="3" t="s">
        <v>142</v>
      </c>
      <c r="S30" s="3" t="s">
        <v>358</v>
      </c>
      <c r="T30" s="3" t="s">
        <v>359</v>
      </c>
      <c r="U30" s="3" t="s">
        <v>360</v>
      </c>
      <c r="V30" s="3" t="s">
        <v>361</v>
      </c>
      <c r="W30" s="3" t="s">
        <v>362</v>
      </c>
      <c r="X30" s="3">
        <v>10</v>
      </c>
      <c r="Y30" s="3" t="s">
        <v>345</v>
      </c>
      <c r="Z30" s="3" t="s">
        <v>346</v>
      </c>
      <c r="AA30" s="3" t="s">
        <v>212</v>
      </c>
    </row>
    <row r="31" spans="1:27" ht="27.6">
      <c r="A31" s="3" t="s">
        <v>363</v>
      </c>
      <c r="B31" s="3" t="s">
        <v>28</v>
      </c>
      <c r="C31" s="3" t="s">
        <v>29</v>
      </c>
      <c r="D31" s="3">
        <v>8</v>
      </c>
      <c r="E31" s="12">
        <v>46188</v>
      </c>
      <c r="F31" s="12">
        <f t="shared" si="0"/>
        <v>46194</v>
      </c>
      <c r="G31" s="3" t="s">
        <v>104</v>
      </c>
      <c r="H31" s="3" t="s">
        <v>30</v>
      </c>
      <c r="I31" s="3" t="s">
        <v>312</v>
      </c>
      <c r="J31" s="3" t="s">
        <v>64</v>
      </c>
      <c r="K31" s="3" t="s">
        <v>313</v>
      </c>
      <c r="L31" s="3" t="s">
        <v>142</v>
      </c>
      <c r="M31" s="3" t="s">
        <v>143</v>
      </c>
      <c r="N31" s="3">
        <f>IFERROR(VLOOKUP(M31,Lookup_Lists!$A$4:$B$7,2,FALSE),"")</f>
        <v>2</v>
      </c>
      <c r="O31" s="3" t="s">
        <v>364</v>
      </c>
      <c r="P31" s="3" t="s">
        <v>365</v>
      </c>
      <c r="Q31" s="3" t="s">
        <v>142</v>
      </c>
      <c r="R31" s="3" t="s">
        <v>142</v>
      </c>
      <c r="S31" s="3" t="s">
        <v>366</v>
      </c>
      <c r="T31" s="3" t="s">
        <v>367</v>
      </c>
      <c r="U31" s="3" t="s">
        <v>368</v>
      </c>
      <c r="V31" s="3" t="s">
        <v>369</v>
      </c>
      <c r="W31" s="3" t="s">
        <v>370</v>
      </c>
      <c r="X31" s="3">
        <v>10</v>
      </c>
      <c r="Y31" s="3" t="s">
        <v>345</v>
      </c>
      <c r="Z31" s="3" t="s">
        <v>346</v>
      </c>
      <c r="AA31" s="3" t="s">
        <v>212</v>
      </c>
    </row>
    <row r="32" spans="1:27" ht="27.6">
      <c r="A32" s="3" t="s">
        <v>371</v>
      </c>
      <c r="B32" s="3" t="s">
        <v>28</v>
      </c>
      <c r="C32" s="3" t="s">
        <v>29</v>
      </c>
      <c r="D32" s="3">
        <v>8</v>
      </c>
      <c r="E32" s="12">
        <v>46190</v>
      </c>
      <c r="F32" s="12">
        <f t="shared" si="0"/>
        <v>46194</v>
      </c>
      <c r="G32" s="3" t="s">
        <v>110</v>
      </c>
      <c r="H32" s="3" t="s">
        <v>30</v>
      </c>
      <c r="I32" s="3" t="s">
        <v>312</v>
      </c>
      <c r="J32" s="3" t="s">
        <v>64</v>
      </c>
      <c r="K32" s="3" t="s">
        <v>313</v>
      </c>
      <c r="L32" s="3" t="s">
        <v>142</v>
      </c>
      <c r="M32" s="3" t="s">
        <v>163</v>
      </c>
      <c r="N32" s="3">
        <f>IFERROR(VLOOKUP(M32,Lookup_Lists!$A$4:$B$7,2,FALSE),"")</f>
        <v>3</v>
      </c>
      <c r="O32" s="3" t="s">
        <v>372</v>
      </c>
      <c r="P32" s="3" t="s">
        <v>373</v>
      </c>
      <c r="Q32" s="3" t="s">
        <v>146</v>
      </c>
      <c r="R32" s="3" t="s">
        <v>142</v>
      </c>
      <c r="S32" s="3" t="s">
        <v>374</v>
      </c>
      <c r="T32" s="3" t="s">
        <v>375</v>
      </c>
      <c r="U32" s="3" t="s">
        <v>376</v>
      </c>
      <c r="V32" s="3" t="s">
        <v>377</v>
      </c>
      <c r="W32" s="3" t="s">
        <v>378</v>
      </c>
      <c r="X32" s="3">
        <v>10</v>
      </c>
      <c r="Y32" s="3" t="s">
        <v>379</v>
      </c>
      <c r="Z32" s="3" t="s">
        <v>142</v>
      </c>
      <c r="AA32" s="3" t="s">
        <v>212</v>
      </c>
    </row>
    <row r="33" spans="1:27" ht="27.6">
      <c r="A33" s="3" t="s">
        <v>380</v>
      </c>
      <c r="B33" s="3" t="s">
        <v>28</v>
      </c>
      <c r="C33" s="3" t="s">
        <v>29</v>
      </c>
      <c r="D33" s="3">
        <v>8</v>
      </c>
      <c r="E33" s="12">
        <v>46192</v>
      </c>
      <c r="F33" s="12">
        <f t="shared" si="0"/>
        <v>46194</v>
      </c>
      <c r="G33" s="3" t="s">
        <v>110</v>
      </c>
      <c r="H33" s="3" t="s">
        <v>30</v>
      </c>
      <c r="I33" s="3" t="s">
        <v>312</v>
      </c>
      <c r="J33" s="3" t="s">
        <v>64</v>
      </c>
      <c r="K33" s="3" t="s">
        <v>313</v>
      </c>
      <c r="L33" s="3" t="s">
        <v>142</v>
      </c>
      <c r="M33" s="3" t="s">
        <v>143</v>
      </c>
      <c r="N33" s="3">
        <f>IFERROR(VLOOKUP(M33,Lookup_Lists!$A$4:$B$7,2,FALSE),"")</f>
        <v>2</v>
      </c>
      <c r="O33" s="3" t="s">
        <v>381</v>
      </c>
      <c r="P33" s="3" t="s">
        <v>382</v>
      </c>
      <c r="Q33" s="3" t="s">
        <v>146</v>
      </c>
      <c r="R33" s="3" t="s">
        <v>142</v>
      </c>
      <c r="S33" s="3" t="s">
        <v>383</v>
      </c>
      <c r="T33" s="3" t="s">
        <v>384</v>
      </c>
      <c r="U33" s="3" t="s">
        <v>385</v>
      </c>
      <c r="V33" s="3" t="s">
        <v>386</v>
      </c>
      <c r="W33" s="3" t="s">
        <v>387</v>
      </c>
      <c r="X33" s="3">
        <v>10</v>
      </c>
      <c r="Y33" s="3" t="s">
        <v>379</v>
      </c>
      <c r="Z33" s="3" t="s">
        <v>142</v>
      </c>
      <c r="AA33" s="3" t="s">
        <v>212</v>
      </c>
    </row>
    <row r="34" spans="1:27" ht="27.6">
      <c r="A34" s="3" t="s">
        <v>388</v>
      </c>
      <c r="B34" s="3" t="s">
        <v>28</v>
      </c>
      <c r="C34" s="3" t="s">
        <v>29</v>
      </c>
      <c r="D34" s="3">
        <v>8</v>
      </c>
      <c r="E34" s="12">
        <v>46195</v>
      </c>
      <c r="F34" s="12">
        <f t="shared" si="0"/>
        <v>46201</v>
      </c>
      <c r="G34" s="3" t="s">
        <v>110</v>
      </c>
      <c r="H34" s="3" t="s">
        <v>30</v>
      </c>
      <c r="I34" s="3" t="s">
        <v>312</v>
      </c>
      <c r="J34" s="3" t="s">
        <v>64</v>
      </c>
      <c r="K34" s="3" t="s">
        <v>313</v>
      </c>
      <c r="L34" s="3" t="s">
        <v>142</v>
      </c>
      <c r="M34" s="3" t="s">
        <v>143</v>
      </c>
      <c r="N34" s="3">
        <f>IFERROR(VLOOKUP(M34,Lookup_Lists!$A$4:$B$7,2,FALSE),"")</f>
        <v>2</v>
      </c>
      <c r="O34" s="3" t="s">
        <v>389</v>
      </c>
      <c r="P34" s="3" t="s">
        <v>390</v>
      </c>
      <c r="Q34" s="3" t="s">
        <v>142</v>
      </c>
      <c r="R34" s="3" t="s">
        <v>142</v>
      </c>
      <c r="S34" s="3" t="s">
        <v>391</v>
      </c>
      <c r="T34" s="3" t="s">
        <v>392</v>
      </c>
      <c r="U34" s="3" t="s">
        <v>393</v>
      </c>
      <c r="V34" s="3" t="s">
        <v>394</v>
      </c>
      <c r="W34" s="3" t="s">
        <v>395</v>
      </c>
      <c r="X34" s="3">
        <v>10</v>
      </c>
      <c r="Y34" s="3" t="s">
        <v>379</v>
      </c>
      <c r="Z34" s="3" t="s">
        <v>142</v>
      </c>
      <c r="AA34" s="3" t="s">
        <v>212</v>
      </c>
    </row>
  </sheetData>
  <mergeCells count="2">
    <mergeCell ref="A1:H1"/>
    <mergeCell ref="A2:H2"/>
  </mergeCells>
  <conditionalFormatting sqref="N5:N3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Z5:Z34">
    <cfRule type="expression" dxfId="12" priority="2">
      <formula>Z5="Yes"</formula>
    </cfRule>
    <cfRule type="expression" dxfId="11" priority="3">
      <formula>Z5="Monitor"</formula>
    </cfRule>
  </conditionalFormatting>
  <conditionalFormatting sqref="AA5:AA34">
    <cfRule type="expression" dxfId="10" priority="4">
      <formula>AA5="Pending Parent Review"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Lookup_Lists!$F$4:$F$5</xm:f>
          </x14:formula1>
          <xm:sqref>L5:L34 Q5:R34</xm:sqref>
        </x14:dataValidation>
        <x14:dataValidation type="list" xr:uid="{00000000-0002-0000-0300-000001000000}">
          <x14:formula1>
            <xm:f>Lookup_Lists!$A$4:$A$7</xm:f>
          </x14:formula1>
          <xm:sqref>M5:M34</xm:sqref>
        </x14:dataValidation>
        <x14:dataValidation type="list" xr:uid="{00000000-0002-0000-0300-000002000000}">
          <x14:formula1>
            <xm:f>Lookup_Lists!$D$4:$D$10</xm:f>
          </x14:formula1>
          <xm:sqref>J5:J34</xm:sqref>
        </x14:dataValidation>
        <x14:dataValidation type="list" xr:uid="{00000000-0002-0000-0300-000004000000}">
          <x14:formula1>
            <xm:f>Lookup_Lists!$H$4:$H$6</xm:f>
          </x14:formula1>
          <xm:sqref>Z5:Z34</xm:sqref>
        </x14:dataValidation>
        <x14:dataValidation type="list" xr:uid="{00000000-0002-0000-0300-000005000000}">
          <x14:formula1>
            <xm:f>Lookup_Lists!$J$4:$J$7</xm:f>
          </x14:formula1>
          <xm:sqref>AA5:AA34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selection activeCell="D18" sqref="D18"/>
    </sheetView>
  </sheetViews>
  <sheetFormatPr defaultRowHeight="13.8"/>
  <cols>
    <col min="1" max="1" width="12" customWidth="1"/>
    <col min="2" max="2" width="10" customWidth="1"/>
    <col min="3" max="3" width="12" style="13" customWidth="1"/>
    <col min="4" max="4" width="24" customWidth="1"/>
    <col min="5" max="5" width="42" customWidth="1"/>
    <col min="6" max="6" width="28" customWidth="1"/>
    <col min="7" max="7" width="55" customWidth="1"/>
    <col min="8" max="8" width="12" customWidth="1"/>
    <col min="9" max="9" width="24" customWidth="1"/>
    <col min="10" max="10" width="18" customWidth="1"/>
    <col min="11" max="11" width="28" customWidth="1"/>
    <col min="12" max="12" width="22" customWidth="1"/>
  </cols>
  <sheetData>
    <row r="1" spans="1:12" ht="22.35" customHeight="1">
      <c r="A1" s="7" t="s">
        <v>396</v>
      </c>
      <c r="B1" s="8"/>
      <c r="C1" s="8"/>
      <c r="D1" s="8"/>
      <c r="E1" s="8"/>
      <c r="F1" s="8"/>
      <c r="G1" s="8"/>
      <c r="H1" s="8"/>
    </row>
    <row r="2" spans="1:12" ht="24" customHeight="1">
      <c r="A2" s="9" t="s">
        <v>397</v>
      </c>
      <c r="B2" s="8"/>
      <c r="C2" s="8"/>
      <c r="D2" s="8"/>
      <c r="E2" s="8"/>
      <c r="F2" s="8"/>
      <c r="G2" s="8"/>
      <c r="H2" s="8"/>
    </row>
    <row r="4" spans="1:12" ht="25.65" customHeight="1">
      <c r="A4" s="2" t="s">
        <v>398</v>
      </c>
      <c r="B4" s="2" t="s">
        <v>14</v>
      </c>
      <c r="C4" s="11" t="s">
        <v>119</v>
      </c>
      <c r="D4" s="2" t="s">
        <v>399</v>
      </c>
      <c r="E4" s="2" t="s">
        <v>400</v>
      </c>
      <c r="F4" s="2" t="s">
        <v>401</v>
      </c>
      <c r="G4" s="2" t="s">
        <v>402</v>
      </c>
      <c r="H4" s="2" t="s">
        <v>403</v>
      </c>
      <c r="I4" s="2" t="s">
        <v>404</v>
      </c>
      <c r="J4" s="2" t="s">
        <v>405</v>
      </c>
      <c r="K4" s="2" t="s">
        <v>406</v>
      </c>
      <c r="L4" s="2" t="s">
        <v>407</v>
      </c>
    </row>
    <row r="5" spans="1:12" ht="27.6">
      <c r="A5" s="3" t="s">
        <v>408</v>
      </c>
      <c r="B5" s="3" t="s">
        <v>20</v>
      </c>
      <c r="C5" s="12">
        <v>46180</v>
      </c>
      <c r="D5" s="3" t="s">
        <v>409</v>
      </c>
      <c r="E5" s="3" t="s">
        <v>410</v>
      </c>
      <c r="F5" s="3" t="s">
        <v>411</v>
      </c>
      <c r="G5" s="3" t="s">
        <v>412</v>
      </c>
      <c r="H5" s="3" t="s">
        <v>413</v>
      </c>
      <c r="I5" s="3" t="s">
        <v>146</v>
      </c>
      <c r="J5" s="3" t="s">
        <v>414</v>
      </c>
      <c r="K5" s="3" t="s">
        <v>415</v>
      </c>
      <c r="L5" s="3" t="s">
        <v>416</v>
      </c>
    </row>
    <row r="6" spans="1:12" ht="27.6">
      <c r="A6" s="3" t="s">
        <v>417</v>
      </c>
      <c r="B6" s="3" t="s">
        <v>20</v>
      </c>
      <c r="C6" s="12">
        <v>46195</v>
      </c>
      <c r="D6" s="3" t="s">
        <v>418</v>
      </c>
      <c r="E6" s="3" t="s">
        <v>419</v>
      </c>
      <c r="F6" s="3" t="s">
        <v>420</v>
      </c>
      <c r="G6" s="3" t="s">
        <v>421</v>
      </c>
      <c r="H6" s="3" t="s">
        <v>413</v>
      </c>
      <c r="I6" s="3" t="s">
        <v>142</v>
      </c>
      <c r="J6" s="3" t="s">
        <v>422</v>
      </c>
      <c r="K6" s="3" t="s">
        <v>423</v>
      </c>
      <c r="L6" s="3" t="s">
        <v>212</v>
      </c>
    </row>
    <row r="7" spans="1:12" ht="27.6">
      <c r="A7" s="3" t="s">
        <v>424</v>
      </c>
      <c r="B7" s="3" t="s">
        <v>24</v>
      </c>
      <c r="C7" s="12">
        <v>46179</v>
      </c>
      <c r="D7" s="3" t="s">
        <v>409</v>
      </c>
      <c r="E7" s="3" t="s">
        <v>425</v>
      </c>
      <c r="F7" s="3" t="s">
        <v>426</v>
      </c>
      <c r="G7" s="3" t="s">
        <v>427</v>
      </c>
      <c r="H7" s="3" t="s">
        <v>428</v>
      </c>
      <c r="I7" s="3" t="s">
        <v>142</v>
      </c>
      <c r="J7" s="3" t="s">
        <v>429</v>
      </c>
      <c r="K7" s="3" t="s">
        <v>430</v>
      </c>
      <c r="L7" s="3" t="s">
        <v>416</v>
      </c>
    </row>
    <row r="8" spans="1:12" ht="27.6">
      <c r="A8" s="3" t="s">
        <v>431</v>
      </c>
      <c r="B8" s="3" t="s">
        <v>24</v>
      </c>
      <c r="C8" s="12">
        <v>46188</v>
      </c>
      <c r="D8" s="3" t="s">
        <v>409</v>
      </c>
      <c r="E8" s="3" t="s">
        <v>432</v>
      </c>
      <c r="F8" s="3" t="s">
        <v>433</v>
      </c>
      <c r="G8" s="3" t="s">
        <v>434</v>
      </c>
      <c r="H8" s="3" t="s">
        <v>413</v>
      </c>
      <c r="I8" s="3" t="s">
        <v>146</v>
      </c>
      <c r="J8" s="3" t="s">
        <v>414</v>
      </c>
      <c r="K8" s="3" t="s">
        <v>415</v>
      </c>
      <c r="L8" s="3" t="s">
        <v>416</v>
      </c>
    </row>
    <row r="9" spans="1:12" ht="27.6">
      <c r="A9" s="3" t="s">
        <v>435</v>
      </c>
      <c r="B9" s="3" t="s">
        <v>28</v>
      </c>
      <c r="C9" s="12">
        <v>46183</v>
      </c>
      <c r="D9" s="3" t="s">
        <v>409</v>
      </c>
      <c r="E9" s="3" t="s">
        <v>436</v>
      </c>
      <c r="F9" s="3" t="s">
        <v>437</v>
      </c>
      <c r="G9" s="3" t="s">
        <v>438</v>
      </c>
      <c r="H9" s="3" t="s">
        <v>428</v>
      </c>
      <c r="I9" s="3" t="s">
        <v>142</v>
      </c>
      <c r="J9" s="3" t="s">
        <v>422</v>
      </c>
      <c r="K9" s="3" t="s">
        <v>439</v>
      </c>
      <c r="L9" s="3" t="s">
        <v>212</v>
      </c>
    </row>
    <row r="10" spans="1:12" ht="27.6">
      <c r="A10" s="3" t="s">
        <v>440</v>
      </c>
      <c r="B10" s="3" t="s">
        <v>28</v>
      </c>
      <c r="C10" s="12">
        <v>46195</v>
      </c>
      <c r="D10" s="3" t="s">
        <v>441</v>
      </c>
      <c r="E10" s="3" t="s">
        <v>442</v>
      </c>
      <c r="F10" s="3" t="s">
        <v>31</v>
      </c>
      <c r="G10" s="3" t="s">
        <v>443</v>
      </c>
      <c r="H10" s="3" t="s">
        <v>428</v>
      </c>
      <c r="I10" s="3" t="s">
        <v>142</v>
      </c>
      <c r="J10" s="3" t="s">
        <v>422</v>
      </c>
      <c r="K10" s="3" t="s">
        <v>444</v>
      </c>
      <c r="L10" s="3" t="s">
        <v>212</v>
      </c>
    </row>
  </sheetData>
  <mergeCells count="2">
    <mergeCell ref="A1:H1"/>
    <mergeCell ref="A2:H2"/>
  </mergeCells>
  <conditionalFormatting sqref="I5:I10">
    <cfRule type="expression" dxfId="9" priority="1">
      <formula>I5="Yes"</formula>
    </cfRule>
  </conditionalFormatting>
  <conditionalFormatting sqref="L5:L10">
    <cfRule type="expression" dxfId="8" priority="2">
      <formula>L5="Pending Parent Review"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>
      <selection activeCell="M11" sqref="A1:M11"/>
    </sheetView>
  </sheetViews>
  <sheetFormatPr defaultRowHeight="13.8"/>
  <cols>
    <col min="1" max="1" width="12" customWidth="1"/>
    <col min="2" max="2" width="10" customWidth="1"/>
    <col min="3" max="3" width="12" customWidth="1"/>
    <col min="4" max="4" width="12" style="13" customWidth="1"/>
    <col min="5" max="7" width="18" customWidth="1"/>
    <col min="8" max="8" width="36" customWidth="1"/>
    <col min="9" max="10" width="56" customWidth="1"/>
    <col min="11" max="12" width="24" customWidth="1"/>
  </cols>
  <sheetData>
    <row r="1" spans="1:12" ht="22.35" customHeight="1">
      <c r="A1" s="7" t="s">
        <v>445</v>
      </c>
      <c r="B1" s="8"/>
      <c r="C1" s="8"/>
      <c r="D1" s="8"/>
      <c r="E1" s="8"/>
      <c r="F1" s="8"/>
      <c r="G1" s="8"/>
      <c r="H1" s="8"/>
    </row>
    <row r="2" spans="1:12" ht="24" customHeight="1">
      <c r="A2" s="9" t="s">
        <v>446</v>
      </c>
      <c r="B2" s="8"/>
      <c r="C2" s="8"/>
      <c r="D2" s="8"/>
      <c r="E2" s="8"/>
      <c r="F2" s="8"/>
      <c r="G2" s="8"/>
      <c r="H2" s="8"/>
    </row>
    <row r="4" spans="1:12" ht="25.65" customHeight="1">
      <c r="A4" s="2" t="s">
        <v>447</v>
      </c>
      <c r="B4" s="2" t="s">
        <v>14</v>
      </c>
      <c r="C4" s="2" t="s">
        <v>53</v>
      </c>
      <c r="D4" s="11" t="s">
        <v>120</v>
      </c>
      <c r="E4" s="2" t="s">
        <v>448</v>
      </c>
      <c r="F4" s="2" t="s">
        <v>449</v>
      </c>
      <c r="G4" s="2" t="s">
        <v>579</v>
      </c>
      <c r="H4" s="2" t="s">
        <v>450</v>
      </c>
      <c r="I4" s="2" t="s">
        <v>451</v>
      </c>
      <c r="J4" s="2" t="s">
        <v>452</v>
      </c>
      <c r="K4" s="2" t="s">
        <v>453</v>
      </c>
      <c r="L4" s="2" t="s">
        <v>454</v>
      </c>
    </row>
    <row r="5" spans="1:12" ht="41.4">
      <c r="A5" s="3" t="s">
        <v>455</v>
      </c>
      <c r="B5" s="3" t="s">
        <v>20</v>
      </c>
      <c r="C5" s="3" t="s">
        <v>21</v>
      </c>
      <c r="D5" s="12">
        <v>46180</v>
      </c>
      <c r="E5" s="3">
        <v>3</v>
      </c>
      <c r="F5" s="3" t="s">
        <v>456</v>
      </c>
      <c r="G5" s="5">
        <f>IFERROR(SUMIFS(Practice_Log!$N$5:$N$34,Practice_Log!$B$5:$B$34,B5,Practice_Log!$F$5:$F$34,D5)/COUNTIFS(Practice_Log!$B$5:$B$34,B5,Practice_Log!$F$5:$F$34,D5),"")</f>
        <v>2.3333333333333335</v>
      </c>
      <c r="H5" s="3" t="s">
        <v>457</v>
      </c>
      <c r="I5" s="3" t="s">
        <v>458</v>
      </c>
      <c r="J5" s="3" t="s">
        <v>459</v>
      </c>
      <c r="K5" s="3" t="s">
        <v>146</v>
      </c>
      <c r="L5" s="3" t="s">
        <v>153</v>
      </c>
    </row>
    <row r="6" spans="1:12" ht="41.4">
      <c r="A6" s="3" t="s">
        <v>460</v>
      </c>
      <c r="B6" s="3" t="s">
        <v>20</v>
      </c>
      <c r="C6" s="3" t="s">
        <v>21</v>
      </c>
      <c r="D6" s="12">
        <v>46194</v>
      </c>
      <c r="E6" s="3">
        <v>5</v>
      </c>
      <c r="F6" s="3" t="s">
        <v>461</v>
      </c>
      <c r="G6" s="5">
        <f>IFERROR(SUMIFS(Practice_Log!$N$5:$N$34,Practice_Log!$B$5:$B$34,B6,Practice_Log!$F$5:$F$34,D6)/COUNTIFS(Practice_Log!$B$5:$B$34,B6,Practice_Log!$F$5:$F$34,D6),"")</f>
        <v>3.3333333333333335</v>
      </c>
      <c r="H6" s="3" t="s">
        <v>462</v>
      </c>
      <c r="I6" s="3" t="s">
        <v>463</v>
      </c>
      <c r="J6" s="3" t="s">
        <v>464</v>
      </c>
      <c r="K6" s="3" t="s">
        <v>146</v>
      </c>
      <c r="L6" s="3" t="s">
        <v>212</v>
      </c>
    </row>
    <row r="7" spans="1:12" ht="41.4">
      <c r="A7" s="3" t="s">
        <v>465</v>
      </c>
      <c r="B7" s="3" t="s">
        <v>24</v>
      </c>
      <c r="C7" s="3" t="s">
        <v>25</v>
      </c>
      <c r="D7" s="12">
        <v>46180</v>
      </c>
      <c r="E7" s="3">
        <v>4</v>
      </c>
      <c r="F7" s="3" t="s">
        <v>461</v>
      </c>
      <c r="G7" s="5">
        <f>IFERROR(SUMIFS(Practice_Log!$N$5:$N$34,Practice_Log!$B$5:$B$34,B7,Practice_Log!$F$5:$F$34,D7)/COUNTIFS(Practice_Log!$B$5:$B$34,B7,Practice_Log!$F$5:$F$34,D7),"")</f>
        <v>3.25</v>
      </c>
      <c r="H7" s="3" t="s">
        <v>466</v>
      </c>
      <c r="I7" s="3" t="s">
        <v>467</v>
      </c>
      <c r="J7" s="3" t="s">
        <v>468</v>
      </c>
      <c r="K7" s="3" t="s">
        <v>146</v>
      </c>
      <c r="L7" s="3" t="s">
        <v>429</v>
      </c>
    </row>
    <row r="8" spans="1:12" ht="41.4">
      <c r="A8" s="3" t="s">
        <v>469</v>
      </c>
      <c r="B8" s="3" t="s">
        <v>24</v>
      </c>
      <c r="C8" s="3" t="s">
        <v>25</v>
      </c>
      <c r="D8" s="12">
        <v>46194</v>
      </c>
      <c r="E8" s="3">
        <v>5</v>
      </c>
      <c r="F8" s="3" t="s">
        <v>461</v>
      </c>
      <c r="G8" s="5">
        <f>IFERROR(SUMIFS(Practice_Log!$N$5:$N$34,Practice_Log!$B$5:$B$34,B8,Practice_Log!$F$5:$F$34,D8)/COUNTIFS(Practice_Log!$B$5:$B$34,B8,Practice_Log!$F$5:$F$34,D8),"")</f>
        <v>3.6666666666666665</v>
      </c>
      <c r="H8" s="3" t="s">
        <v>470</v>
      </c>
      <c r="I8" s="3" t="s">
        <v>471</v>
      </c>
      <c r="J8" s="3" t="s">
        <v>472</v>
      </c>
      <c r="K8" s="3" t="s">
        <v>146</v>
      </c>
      <c r="L8" s="3" t="s">
        <v>153</v>
      </c>
    </row>
    <row r="9" spans="1:12" ht="27.6">
      <c r="A9" s="3" t="s">
        <v>473</v>
      </c>
      <c r="B9" s="3" t="s">
        <v>28</v>
      </c>
      <c r="C9" s="3" t="s">
        <v>29</v>
      </c>
      <c r="D9" s="12">
        <v>46180</v>
      </c>
      <c r="E9" s="3">
        <v>3</v>
      </c>
      <c r="F9" s="3" t="s">
        <v>474</v>
      </c>
      <c r="G9" s="5">
        <f>IFERROR(SUMIFS(Practice_Log!$N$5:$N$34,Practice_Log!$B$5:$B$34,B9,Practice_Log!$F$5:$F$34,D9)/COUNTIFS(Practice_Log!$B$5:$B$34,B9,Practice_Log!$F$5:$F$34,D9),"")</f>
        <v>3.6666666666666665</v>
      </c>
      <c r="H9" s="3" t="s">
        <v>475</v>
      </c>
      <c r="I9" s="3" t="s">
        <v>476</v>
      </c>
      <c r="J9" s="3" t="s">
        <v>477</v>
      </c>
      <c r="K9" s="3" t="s">
        <v>146</v>
      </c>
      <c r="L9" s="3" t="s">
        <v>153</v>
      </c>
    </row>
    <row r="10" spans="1:12" ht="55.2">
      <c r="A10" s="3" t="s">
        <v>478</v>
      </c>
      <c r="B10" s="3" t="s">
        <v>28</v>
      </c>
      <c r="C10" s="3" t="s">
        <v>29</v>
      </c>
      <c r="D10" s="12">
        <v>46194</v>
      </c>
      <c r="E10" s="3">
        <v>6</v>
      </c>
      <c r="F10" s="3" t="s">
        <v>479</v>
      </c>
      <c r="G10" s="5">
        <f>IFERROR(SUMIFS(Practice_Log!$N$5:$N$34,Practice_Log!$B$5:$B$34,B10,Practice_Log!$F$5:$F$34,D10)/COUNTIFS(Practice_Log!$B$5:$B$34,B10,Practice_Log!$F$5:$F$34,D10),"")</f>
        <v>2.3333333333333335</v>
      </c>
      <c r="H10" s="3" t="s">
        <v>480</v>
      </c>
      <c r="I10" s="3" t="s">
        <v>481</v>
      </c>
      <c r="J10" s="3" t="s">
        <v>482</v>
      </c>
      <c r="K10" s="3" t="s">
        <v>142</v>
      </c>
      <c r="L10" s="3" t="s">
        <v>212</v>
      </c>
    </row>
  </sheetData>
  <mergeCells count="2">
    <mergeCell ref="A1:H1"/>
    <mergeCell ref="A2:H2"/>
  </mergeCells>
  <conditionalFormatting sqref="K5:K10">
    <cfRule type="expression" dxfId="7" priority="1">
      <formula>K5="Yes"</formula>
    </cfRule>
  </conditionalFormatting>
  <conditionalFormatting sqref="L5:L10">
    <cfRule type="expression" dxfId="6" priority="2">
      <formula>L5="Pending Parent Review"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F16" sqref="F16"/>
    </sheetView>
  </sheetViews>
  <sheetFormatPr defaultRowHeight="13.8"/>
  <cols>
    <col min="1" max="2" width="10" customWidth="1"/>
    <col min="3" max="3" width="12" customWidth="1"/>
    <col min="4" max="4" width="8" customWidth="1"/>
    <col min="5" max="5" width="12" customWidth="1"/>
    <col min="6" max="6" width="18" customWidth="1"/>
    <col min="7" max="7" width="24" customWidth="1"/>
    <col min="8" max="8" width="58" customWidth="1"/>
    <col min="9" max="9" width="46" customWidth="1"/>
    <col min="10" max="10" width="38" customWidth="1"/>
    <col min="11" max="11" width="28" customWidth="1"/>
  </cols>
  <sheetData>
    <row r="1" spans="1:11" ht="22.35" customHeight="1">
      <c r="A1" s="7" t="s">
        <v>483</v>
      </c>
      <c r="B1" s="8"/>
      <c r="C1" s="8"/>
      <c r="D1" s="8"/>
      <c r="E1" s="8"/>
      <c r="F1" s="8"/>
      <c r="G1" s="8"/>
      <c r="H1" s="8"/>
    </row>
    <row r="2" spans="1:11" ht="24" customHeight="1">
      <c r="A2" s="9" t="s">
        <v>484</v>
      </c>
      <c r="B2" s="8"/>
      <c r="C2" s="8"/>
      <c r="D2" s="8"/>
      <c r="E2" s="8"/>
      <c r="F2" s="8"/>
      <c r="G2" s="8"/>
      <c r="H2" s="8"/>
    </row>
    <row r="4" spans="1:11" ht="25.65" customHeight="1">
      <c r="A4" s="2" t="s">
        <v>485</v>
      </c>
      <c r="B4" s="2" t="s">
        <v>14</v>
      </c>
      <c r="C4" s="2" t="s">
        <v>53</v>
      </c>
      <c r="D4" s="2" t="s">
        <v>16</v>
      </c>
      <c r="E4" s="2" t="s">
        <v>55</v>
      </c>
      <c r="F4" s="2" t="s">
        <v>86</v>
      </c>
      <c r="G4" s="2" t="s">
        <v>486</v>
      </c>
      <c r="H4" s="2" t="s">
        <v>487</v>
      </c>
      <c r="I4" s="2" t="s">
        <v>488</v>
      </c>
      <c r="J4" s="2" t="s">
        <v>489</v>
      </c>
      <c r="K4" s="2" t="s">
        <v>490</v>
      </c>
    </row>
    <row r="5" spans="1:11" ht="27.6">
      <c r="A5" s="3" t="s">
        <v>491</v>
      </c>
      <c r="B5" s="3" t="s">
        <v>20</v>
      </c>
      <c r="C5" s="3" t="s">
        <v>21</v>
      </c>
      <c r="D5" s="3">
        <v>4</v>
      </c>
      <c r="E5" s="3" t="s">
        <v>22</v>
      </c>
      <c r="F5" s="3" t="s">
        <v>64</v>
      </c>
      <c r="G5" s="3" t="s">
        <v>492</v>
      </c>
      <c r="H5" s="3" t="s">
        <v>493</v>
      </c>
      <c r="I5" s="3" t="s">
        <v>494</v>
      </c>
      <c r="J5" s="3" t="s">
        <v>495</v>
      </c>
      <c r="K5" s="3" t="s">
        <v>146</v>
      </c>
    </row>
    <row r="6" spans="1:11" ht="27.6">
      <c r="A6" s="3" t="s">
        <v>496</v>
      </c>
      <c r="B6" s="3" t="s">
        <v>24</v>
      </c>
      <c r="C6" s="3" t="s">
        <v>25</v>
      </c>
      <c r="D6" s="3">
        <v>7</v>
      </c>
      <c r="E6" s="3" t="s">
        <v>26</v>
      </c>
      <c r="F6" s="3" t="s">
        <v>76</v>
      </c>
      <c r="G6" s="3" t="s">
        <v>497</v>
      </c>
      <c r="H6" s="3" t="s">
        <v>498</v>
      </c>
      <c r="I6" s="3" t="s">
        <v>499</v>
      </c>
      <c r="J6" s="3" t="s">
        <v>500</v>
      </c>
      <c r="K6" s="3" t="s">
        <v>501</v>
      </c>
    </row>
    <row r="7" spans="1:11" ht="27.6">
      <c r="A7" s="3" t="s">
        <v>502</v>
      </c>
      <c r="B7" s="3" t="s">
        <v>28</v>
      </c>
      <c r="C7" s="3" t="s">
        <v>29</v>
      </c>
      <c r="D7" s="3">
        <v>8</v>
      </c>
      <c r="E7" s="3" t="s">
        <v>30</v>
      </c>
      <c r="F7" s="3" t="s">
        <v>503</v>
      </c>
      <c r="G7" s="3" t="s">
        <v>504</v>
      </c>
      <c r="H7" s="3" t="s">
        <v>505</v>
      </c>
      <c r="I7" s="3" t="s">
        <v>506</v>
      </c>
      <c r="J7" s="3" t="s">
        <v>507</v>
      </c>
      <c r="K7" s="3" t="s">
        <v>508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sqref="A1:H1"/>
    </sheetView>
  </sheetViews>
  <sheetFormatPr defaultRowHeight="13.8"/>
  <cols>
    <col min="1" max="1" width="10" customWidth="1"/>
    <col min="2" max="2" width="38" customWidth="1"/>
    <col min="3" max="3" width="34" customWidth="1"/>
    <col min="4" max="4" width="18" customWidth="1"/>
    <col min="5" max="5" width="24" customWidth="1"/>
    <col min="6" max="6" width="45" customWidth="1"/>
  </cols>
  <sheetData>
    <row r="1" spans="1:8" ht="22.35" customHeight="1">
      <c r="A1" s="7" t="s">
        <v>509</v>
      </c>
      <c r="B1" s="8"/>
      <c r="C1" s="8"/>
      <c r="D1" s="8"/>
      <c r="E1" s="8"/>
      <c r="F1" s="8"/>
      <c r="G1" s="8"/>
      <c r="H1" s="8"/>
    </row>
    <row r="2" spans="1:8" ht="24" customHeight="1">
      <c r="A2" s="9" t="s">
        <v>510</v>
      </c>
      <c r="B2" s="8"/>
      <c r="C2" s="8"/>
      <c r="D2" s="8"/>
      <c r="E2" s="8"/>
      <c r="F2" s="8"/>
      <c r="G2" s="8"/>
      <c r="H2" s="8"/>
    </row>
    <row r="4" spans="1:8" ht="25.65" customHeight="1">
      <c r="A4" s="2" t="s">
        <v>511</v>
      </c>
      <c r="B4" s="2" t="s">
        <v>400</v>
      </c>
      <c r="C4" s="2" t="s">
        <v>512</v>
      </c>
      <c r="D4" s="2" t="s">
        <v>513</v>
      </c>
      <c r="E4" s="2" t="s">
        <v>514</v>
      </c>
      <c r="F4" s="2" t="s">
        <v>515</v>
      </c>
    </row>
    <row r="5" spans="1:8" ht="27.6">
      <c r="A5" s="3" t="s">
        <v>516</v>
      </c>
      <c r="B5" s="3" t="s">
        <v>517</v>
      </c>
      <c r="C5" s="3" t="s">
        <v>518</v>
      </c>
      <c r="D5" s="3" t="s">
        <v>146</v>
      </c>
      <c r="E5" s="3" t="s">
        <v>142</v>
      </c>
      <c r="F5" s="3" t="s">
        <v>519</v>
      </c>
    </row>
    <row r="6" spans="1:8" ht="27.6">
      <c r="A6" s="3" t="s">
        <v>520</v>
      </c>
      <c r="B6" s="3" t="s">
        <v>521</v>
      </c>
      <c r="C6" s="3" t="s">
        <v>522</v>
      </c>
      <c r="D6" s="3" t="s">
        <v>146</v>
      </c>
      <c r="E6" s="3" t="s">
        <v>146</v>
      </c>
      <c r="F6" s="3" t="s">
        <v>523</v>
      </c>
    </row>
    <row r="7" spans="1:8" ht="27.6">
      <c r="A7" s="3" t="s">
        <v>524</v>
      </c>
      <c r="B7" s="3" t="s">
        <v>525</v>
      </c>
      <c r="C7" s="3" t="s">
        <v>526</v>
      </c>
      <c r="D7" s="3" t="s">
        <v>346</v>
      </c>
      <c r="E7" s="3" t="s">
        <v>142</v>
      </c>
      <c r="F7" s="3" t="s">
        <v>527</v>
      </c>
    </row>
    <row r="8" spans="1:8">
      <c r="A8" s="3" t="s">
        <v>528</v>
      </c>
      <c r="B8" s="3" t="s">
        <v>529</v>
      </c>
      <c r="C8" s="3" t="s">
        <v>530</v>
      </c>
      <c r="D8" s="3" t="s">
        <v>346</v>
      </c>
      <c r="E8" s="3" t="s">
        <v>142</v>
      </c>
      <c r="F8" s="3" t="s">
        <v>531</v>
      </c>
    </row>
    <row r="9" spans="1:8" ht="27.6">
      <c r="A9" s="3" t="s">
        <v>532</v>
      </c>
      <c r="B9" s="3" t="s">
        <v>533</v>
      </c>
      <c r="C9" s="3" t="s">
        <v>31</v>
      </c>
      <c r="D9" s="3" t="s">
        <v>142</v>
      </c>
      <c r="E9" s="3" t="s">
        <v>142</v>
      </c>
      <c r="F9" s="3" t="s">
        <v>534</v>
      </c>
    </row>
    <row r="10" spans="1:8" ht="27.6">
      <c r="A10" s="3" t="s">
        <v>535</v>
      </c>
      <c r="B10" s="3" t="s">
        <v>536</v>
      </c>
      <c r="C10" s="3" t="s">
        <v>537</v>
      </c>
      <c r="D10" s="3" t="s">
        <v>146</v>
      </c>
      <c r="E10" s="3" t="s">
        <v>142</v>
      </c>
      <c r="F10" s="3" t="s">
        <v>538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selection activeCell="B20" sqref="B20"/>
    </sheetView>
  </sheetViews>
  <sheetFormatPr defaultRowHeight="13.8"/>
  <cols>
    <col min="1" max="4" width="18" customWidth="1"/>
  </cols>
  <sheetData>
    <row r="1" spans="1:8" ht="22.35" customHeight="1">
      <c r="A1" s="7" t="s">
        <v>580</v>
      </c>
      <c r="B1" s="8"/>
      <c r="C1" s="8"/>
      <c r="D1" s="8"/>
      <c r="E1" s="8"/>
      <c r="F1" s="8"/>
      <c r="G1" s="8"/>
      <c r="H1" s="8"/>
    </row>
    <row r="2" spans="1:8" ht="24" customHeight="1">
      <c r="A2" s="9" t="s">
        <v>539</v>
      </c>
      <c r="B2" s="8"/>
      <c r="C2" s="8"/>
      <c r="D2" s="8"/>
      <c r="E2" s="8"/>
      <c r="F2" s="8"/>
      <c r="G2" s="8"/>
      <c r="H2" s="8"/>
    </row>
    <row r="4" spans="1:8" ht="25.65" customHeight="1">
      <c r="A4" s="2" t="s">
        <v>540</v>
      </c>
      <c r="B4" s="2" t="s">
        <v>541</v>
      </c>
      <c r="C4" s="2" t="s">
        <v>542</v>
      </c>
      <c r="D4" s="2" t="s">
        <v>543</v>
      </c>
    </row>
    <row r="5" spans="1:8">
      <c r="A5">
        <v>1</v>
      </c>
      <c r="B5">
        <v>2</v>
      </c>
      <c r="C5">
        <v>3</v>
      </c>
      <c r="D5">
        <v>4</v>
      </c>
    </row>
    <row r="6" spans="1:8">
      <c r="A6">
        <v>2</v>
      </c>
      <c r="B6">
        <v>2</v>
      </c>
      <c r="C6">
        <v>3</v>
      </c>
      <c r="D6">
        <v>4</v>
      </c>
    </row>
    <row r="7" spans="1:8">
      <c r="A7">
        <v>3</v>
      </c>
      <c r="B7">
        <v>3</v>
      </c>
      <c r="C7">
        <v>3</v>
      </c>
      <c r="D7">
        <v>3</v>
      </c>
    </row>
    <row r="8" spans="1:8">
      <c r="A8">
        <v>4</v>
      </c>
      <c r="B8">
        <v>2</v>
      </c>
      <c r="C8">
        <v>4</v>
      </c>
      <c r="D8">
        <v>2</v>
      </c>
    </row>
    <row r="9" spans="1:8">
      <c r="A9">
        <v>5</v>
      </c>
      <c r="B9">
        <v>3</v>
      </c>
      <c r="C9">
        <v>4</v>
      </c>
      <c r="D9">
        <v>2</v>
      </c>
    </row>
    <row r="10" spans="1:8">
      <c r="A10">
        <v>6</v>
      </c>
      <c r="B10">
        <v>3</v>
      </c>
      <c r="C10">
        <v>4</v>
      </c>
      <c r="D10">
        <v>2</v>
      </c>
    </row>
    <row r="11" spans="1:8">
      <c r="A11">
        <v>7</v>
      </c>
      <c r="B11">
        <v>3</v>
      </c>
      <c r="C11">
        <v>4</v>
      </c>
      <c r="D11">
        <v>2</v>
      </c>
    </row>
    <row r="12" spans="1:8">
      <c r="A12">
        <v>8</v>
      </c>
      <c r="B12">
        <v>4</v>
      </c>
      <c r="C12">
        <v>4</v>
      </c>
      <c r="D12">
        <v>3</v>
      </c>
    </row>
    <row r="13" spans="1:8">
      <c r="A13">
        <v>9</v>
      </c>
      <c r="B13">
        <v>3</v>
      </c>
      <c r="C13">
        <v>3</v>
      </c>
      <c r="D13">
        <v>2</v>
      </c>
    </row>
    <row r="14" spans="1:8">
      <c r="A14">
        <v>10</v>
      </c>
      <c r="B14">
        <v>4</v>
      </c>
      <c r="C14">
        <v>4</v>
      </c>
      <c r="D14">
        <v>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"/>
  <sheetViews>
    <sheetView workbookViewId="0">
      <selection activeCell="F18" sqref="F18"/>
    </sheetView>
  </sheetViews>
  <sheetFormatPr defaultRowHeight="13.8"/>
  <cols>
    <col min="1" max="1" width="44.3984375" customWidth="1"/>
    <col min="2" max="3" width="10.5" customWidth="1"/>
    <col min="4" max="5" width="12" customWidth="1"/>
    <col min="6" max="6" width="6.09765625" customWidth="1"/>
    <col min="7" max="7" width="15.69921875" customWidth="1"/>
    <col min="8" max="8" width="12.19921875" customWidth="1"/>
    <col min="9" max="9" width="14.09765625" customWidth="1"/>
    <col min="10" max="10" width="17.59765625" customWidth="1"/>
    <col min="11" max="11" width="18.5" customWidth="1"/>
    <col min="12" max="12" width="22" customWidth="1"/>
    <col min="13" max="13" width="12.19921875" customWidth="1"/>
    <col min="14" max="14" width="9.09765625" customWidth="1"/>
    <col min="15" max="15" width="17.59765625" customWidth="1"/>
    <col min="16" max="16" width="12.59765625" customWidth="1"/>
    <col min="17" max="17" width="22" customWidth="1"/>
    <col min="19" max="19" width="9.09765625" customWidth="1"/>
  </cols>
  <sheetData>
    <row r="1" spans="1:21" ht="22.35" customHeight="1">
      <c r="A1" s="7" t="s">
        <v>544</v>
      </c>
      <c r="B1" s="8"/>
      <c r="C1" s="8"/>
      <c r="D1" s="8"/>
      <c r="E1" s="8"/>
      <c r="F1" s="8"/>
      <c r="G1" s="8"/>
      <c r="H1" s="8"/>
    </row>
    <row r="2" spans="1:21" ht="24" customHeight="1">
      <c r="A2" s="9" t="s">
        <v>581</v>
      </c>
      <c r="B2" s="8"/>
      <c r="C2" s="8"/>
      <c r="D2" s="8"/>
      <c r="E2" s="8"/>
      <c r="F2" s="8"/>
      <c r="G2" s="8"/>
      <c r="H2" s="8"/>
    </row>
    <row r="3" spans="1:21">
      <c r="A3" s="1" t="s">
        <v>124</v>
      </c>
      <c r="B3" s="1" t="s">
        <v>125</v>
      </c>
      <c r="D3" s="1" t="s">
        <v>86</v>
      </c>
      <c r="F3" s="1" t="s">
        <v>545</v>
      </c>
      <c r="H3" s="1" t="s">
        <v>137</v>
      </c>
      <c r="J3" s="1" t="s">
        <v>138</v>
      </c>
      <c r="L3" s="1" t="s">
        <v>399</v>
      </c>
      <c r="N3" s="1" t="s">
        <v>403</v>
      </c>
      <c r="P3" s="1" t="s">
        <v>449</v>
      </c>
    </row>
    <row r="4" spans="1:21">
      <c r="A4" s="1" t="s">
        <v>204</v>
      </c>
      <c r="B4">
        <v>4</v>
      </c>
      <c r="C4" s="1"/>
      <c r="D4" t="s">
        <v>546</v>
      </c>
      <c r="E4" s="1"/>
      <c r="F4" t="s">
        <v>142</v>
      </c>
      <c r="G4" s="1"/>
      <c r="H4" t="s">
        <v>146</v>
      </c>
      <c r="I4" s="1"/>
      <c r="J4" t="s">
        <v>153</v>
      </c>
      <c r="K4" s="1"/>
      <c r="L4" t="s">
        <v>418</v>
      </c>
      <c r="M4" s="1"/>
      <c r="N4" t="s">
        <v>428</v>
      </c>
      <c r="O4" s="1"/>
      <c r="P4" t="s">
        <v>461</v>
      </c>
      <c r="Q4" s="1"/>
      <c r="S4" s="1"/>
      <c r="U4" s="1" t="s">
        <v>449</v>
      </c>
    </row>
    <row r="5" spans="1:21">
      <c r="A5" t="s">
        <v>163</v>
      </c>
      <c r="B5">
        <v>3</v>
      </c>
      <c r="D5" t="s">
        <v>547</v>
      </c>
      <c r="F5" t="s">
        <v>146</v>
      </c>
      <c r="H5" t="s">
        <v>346</v>
      </c>
      <c r="J5" t="s">
        <v>212</v>
      </c>
      <c r="L5" t="s">
        <v>409</v>
      </c>
      <c r="N5" t="s">
        <v>413</v>
      </c>
      <c r="P5" t="s">
        <v>548</v>
      </c>
      <c r="U5" t="s">
        <v>461</v>
      </c>
    </row>
    <row r="6" spans="1:21">
      <c r="A6" t="s">
        <v>143</v>
      </c>
      <c r="B6">
        <v>2</v>
      </c>
      <c r="D6" t="s">
        <v>64</v>
      </c>
      <c r="H6" t="s">
        <v>142</v>
      </c>
      <c r="J6" t="s">
        <v>429</v>
      </c>
      <c r="L6" t="s">
        <v>441</v>
      </c>
      <c r="N6" t="s">
        <v>549</v>
      </c>
      <c r="P6" t="s">
        <v>479</v>
      </c>
      <c r="U6" t="s">
        <v>548</v>
      </c>
    </row>
    <row r="7" spans="1:21">
      <c r="A7" t="s">
        <v>550</v>
      </c>
      <c r="B7">
        <v>1</v>
      </c>
      <c r="D7" t="s">
        <v>551</v>
      </c>
      <c r="J7" t="s">
        <v>552</v>
      </c>
      <c r="P7" t="s">
        <v>456</v>
      </c>
      <c r="U7" t="s">
        <v>479</v>
      </c>
    </row>
    <row r="8" spans="1:21">
      <c r="D8" t="s">
        <v>76</v>
      </c>
      <c r="P8" t="s">
        <v>553</v>
      </c>
      <c r="U8" t="s">
        <v>456</v>
      </c>
    </row>
    <row r="9" spans="1:21">
      <c r="D9" t="s">
        <v>554</v>
      </c>
      <c r="U9" t="s">
        <v>553</v>
      </c>
    </row>
    <row r="10" spans="1:21">
      <c r="D10" t="s">
        <v>555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>
      <selection activeCell="B18" sqref="B18"/>
    </sheetView>
  </sheetViews>
  <sheetFormatPr defaultRowHeight="13.8"/>
  <cols>
    <col min="1" max="1" width="28" customWidth="1"/>
    <col min="2" max="2" width="50" customWidth="1"/>
    <col min="3" max="3" width="70" customWidth="1"/>
  </cols>
  <sheetData>
    <row r="1" spans="1:8" ht="22.35" customHeight="1">
      <c r="A1" s="7" t="s">
        <v>556</v>
      </c>
      <c r="B1" s="8"/>
      <c r="C1" s="8"/>
      <c r="D1" s="8"/>
      <c r="E1" s="8"/>
      <c r="F1" s="8"/>
      <c r="G1" s="8"/>
      <c r="H1" s="8"/>
    </row>
    <row r="2" spans="1:8" ht="24" customHeight="1">
      <c r="A2" s="9" t="s">
        <v>557</v>
      </c>
      <c r="B2" s="8"/>
      <c r="C2" s="8"/>
      <c r="D2" s="8"/>
      <c r="E2" s="8"/>
      <c r="F2" s="8"/>
      <c r="G2" s="8"/>
      <c r="H2" s="8"/>
    </row>
    <row r="4" spans="1:8" ht="25.65" customHeight="1">
      <c r="A4" s="2" t="s">
        <v>558</v>
      </c>
      <c r="B4" s="2" t="s">
        <v>559</v>
      </c>
      <c r="C4" s="2" t="s">
        <v>560</v>
      </c>
    </row>
    <row r="5" spans="1:8" ht="27.6">
      <c r="A5" s="3" t="s">
        <v>561</v>
      </c>
      <c r="B5" s="3" t="s">
        <v>562</v>
      </c>
      <c r="C5" s="3" t="s">
        <v>563</v>
      </c>
    </row>
    <row r="6" spans="1:8" ht="27.6">
      <c r="A6" s="3" t="s">
        <v>564</v>
      </c>
      <c r="B6" s="3" t="s">
        <v>565</v>
      </c>
      <c r="C6" s="3" t="s">
        <v>566</v>
      </c>
    </row>
    <row r="7" spans="1:8" ht="27.6">
      <c r="A7" s="3" t="s">
        <v>567</v>
      </c>
      <c r="B7" s="3" t="s">
        <v>568</v>
      </c>
      <c r="C7" s="3" t="s">
        <v>569</v>
      </c>
    </row>
    <row r="8" spans="1:8" ht="27.6">
      <c r="A8" s="3" t="s">
        <v>570</v>
      </c>
      <c r="B8" s="3" t="s">
        <v>571</v>
      </c>
      <c r="C8" s="3" t="s">
        <v>572</v>
      </c>
    </row>
    <row r="9" spans="1:8" ht="27.6">
      <c r="A9" s="3" t="s">
        <v>573</v>
      </c>
      <c r="B9" s="3" t="s">
        <v>574</v>
      </c>
      <c r="C9" s="3" t="s">
        <v>575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Child_Profile</vt:lpstr>
      <vt:lpstr>Therapist_Materials</vt:lpstr>
      <vt:lpstr>Practice_Log</vt:lpstr>
      <vt:lpstr>Agent_Decisions</vt:lpstr>
      <vt:lpstr>Weekly_Summaries</vt:lpstr>
      <vt:lpstr>Practice_Plan_Examples</vt:lpstr>
      <vt:lpstr>Decision_Rules</vt:lpstr>
      <vt:lpstr>Score_Timeline</vt:lpstr>
      <vt:lpstr>Lookup_Lists</vt:lpstr>
      <vt:lpstr>Sources_ReadMe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koolraveesh koolraveesh</cp:lastModifiedBy>
  <dcterms:modified xsi:type="dcterms:W3CDTF">2026-06-18T23:02:46Z</dcterms:modified>
</cp:coreProperties>
</file>